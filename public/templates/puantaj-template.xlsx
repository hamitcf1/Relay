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NBÜRO" sheetId="1" r:id="rId4"/>
  </sheets>
  <definedNames/>
  <calcPr/>
  <extLst>
    <ext uri="GoogleSheetsCustomDataVersion2">
      <go:sheetsCustomData xmlns:go="http://customooxmlschemas.google.com/" r:id="rId5" roundtripDataChecksum="ebXGFfvXKFoVEcQRy5lXCSZNJze05xDG2QPS4MHSc0I="/>
    </ext>
  </extLst>
</workbook>
</file>

<file path=xl/sharedStrings.xml><?xml version="1.0" encoding="utf-8"?>
<sst xmlns="http://schemas.openxmlformats.org/spreadsheetml/2006/main" count="106" uniqueCount="45">
  <si>
    <t>FİRMA ADI</t>
  </si>
  <si>
    <t>PEARLY HOTEL</t>
  </si>
  <si>
    <t>ÇALIŞMA AYI</t>
  </si>
  <si>
    <t>MAYIS</t>
  </si>
  <si>
    <t>ÇALIŞMA YILI</t>
  </si>
  <si>
    <t>PUANTAJ   CETVELI</t>
  </si>
  <si>
    <t>ÇALIŞTI</t>
  </si>
  <si>
    <t>HAFTALIK İZİN</t>
  </si>
  <si>
    <t>TELAFİ İZNİ</t>
  </si>
  <si>
    <t>BAYRAM ÇALIŞAN</t>
  </si>
  <si>
    <t xml:space="preserve">YILLIK İZİN </t>
  </si>
  <si>
    <t>ÜCRETLİ İZİN</t>
  </si>
  <si>
    <t>GÖREVLİ</t>
  </si>
  <si>
    <t>ÜCRETSİZ İZİN</t>
  </si>
  <si>
    <t>DEVAMSIZ</t>
  </si>
  <si>
    <t>RAPORLU</t>
  </si>
  <si>
    <t>TOPLAM</t>
  </si>
  <si>
    <t>S.NO</t>
  </si>
  <si>
    <t>ADI VE SOYADI</t>
  </si>
  <si>
    <t>İŞE GİRİŞ TARİHİ</t>
  </si>
  <si>
    <t>İŞTEN ÇIKIŞ TARİHİ</t>
  </si>
  <si>
    <t>HAMIT CAN FINDIK</t>
  </si>
  <si>
    <t>X</t>
  </si>
  <si>
    <t>HT</t>
  </si>
  <si>
    <t>SEMA DÖNER</t>
  </si>
  <si>
    <t>SİNAN OLYVNİK</t>
  </si>
  <si>
    <t>SUDE NAZ KARADAĞ</t>
  </si>
  <si>
    <t>SAİD DUYAN</t>
  </si>
  <si>
    <t xml:space="preserve"> </t>
  </si>
  <si>
    <t>YILLIK İZİNLİ</t>
  </si>
  <si>
    <t>Yİ</t>
  </si>
  <si>
    <t>İZ</t>
  </si>
  <si>
    <t xml:space="preserve">DEPARTMAN MÜDÜRÜ </t>
  </si>
  <si>
    <t>HAFTA TATİLİ</t>
  </si>
  <si>
    <t>BAYRAM ÇALIŞMA</t>
  </si>
  <si>
    <t>B</t>
  </si>
  <si>
    <t>RP</t>
  </si>
  <si>
    <t>İmza</t>
  </si>
  <si>
    <t>D</t>
  </si>
  <si>
    <t>ÜCRETSİZ İZİNLİ</t>
  </si>
  <si>
    <t>ÜCS</t>
  </si>
  <si>
    <t>G</t>
  </si>
  <si>
    <t>Tİ</t>
  </si>
  <si>
    <t>* Yukarıdaki işaretlere göre puantaj yapılacaktır.</t>
  </si>
  <si>
    <t>* Resmi Tatil  ve Bayram günlerinde çalışılan günlerin kutucuklarını kırmızı ile belirtiniz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</si>
</sst>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&quot;-&quot;mm&quot;-&quot;yyyy"/>
    <numFmt numFmtId="166" formatCode="dd.mm.yyyy"/>
  </numFmts>
  <fonts count="22">
    <font>
      <sz val="11.0"/>
      <color theme="1"/>
      <name val="Calibri"/>
      <scheme val="minor"/>
    </font>
    <font>
      <b/>
      <sz val="8.0"/>
      <color theme="1"/>
      <name val="Times New Roman"/>
    </font>
    <font>
      <b/>
      <sz val="10.0"/>
      <color rgb="FF0000FF"/>
      <name val="Times New Roman"/>
    </font>
    <font/>
    <font>
      <b/>
      <sz val="8.0"/>
      <color rgb="FF0000FF"/>
      <name val="Times New Roman"/>
    </font>
    <font>
      <b/>
      <sz val="20.0"/>
      <color theme="1"/>
      <name val="Limelight"/>
    </font>
    <font>
      <b/>
      <sz val="20.0"/>
      <color theme="1"/>
      <name val="Arial"/>
    </font>
    <font>
      <b/>
      <sz val="12.0"/>
      <color theme="1"/>
      <name val="Times New Roman"/>
    </font>
    <font>
      <b/>
      <sz val="10.0"/>
      <color theme="1"/>
      <name val="Calibri"/>
    </font>
    <font>
      <b/>
      <sz val="10.0"/>
      <color theme="4"/>
      <name val="Calibri"/>
    </font>
    <font>
      <sz val="10.0"/>
      <color theme="1"/>
      <name val="Calibri"/>
    </font>
    <font>
      <b/>
      <sz val="10.0"/>
      <color rgb="FFFF0066"/>
      <name val="Calibri"/>
    </font>
    <font>
      <b/>
      <sz val="10.0"/>
      <color rgb="FFFF0000"/>
      <name val="Calibri"/>
    </font>
    <font>
      <b/>
      <sz val="10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8.0"/>
      <color rgb="FFFF0066"/>
      <name val="Times New Roman"/>
    </font>
    <font>
      <b/>
      <sz val="8.0"/>
      <color rgb="FFFF0000"/>
      <name val="Times New Roman"/>
    </font>
    <font>
      <b/>
      <sz val="8.0"/>
      <color theme="1"/>
      <name val="Arial"/>
    </font>
    <font>
      <b/>
      <sz val="7.0"/>
      <color theme="1"/>
      <name val="Times New Roman"/>
    </font>
    <font>
      <b/>
      <i/>
      <sz val="9.0"/>
      <color rgb="FF1F497D"/>
      <name val="Times New Roman"/>
    </font>
    <font>
      <b/>
      <sz val="8.0"/>
      <color rgb="FF1F497D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lef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2" fontId="2" numFmtId="1" xfId="0" applyAlignment="1" applyBorder="1" applyFill="1" applyFont="1" applyNumberFormat="1">
      <alignment horizontal="center"/>
    </xf>
    <xf borderId="3" fillId="0" fontId="3" numFmtId="0" xfId="0" applyBorder="1" applyFont="1"/>
    <xf borderId="4" fillId="2" fontId="4" numFmtId="1" xfId="0" applyAlignment="1" applyBorder="1" applyFont="1" applyNumberFormat="1">
      <alignment horizontal="center"/>
    </xf>
    <xf borderId="5" fillId="0" fontId="3" numFmtId="0" xfId="0" applyBorder="1" applyFont="1"/>
    <xf borderId="6" fillId="2" fontId="4" numFmtId="1" xfId="0" applyAlignment="1" applyBorder="1" applyFont="1" applyNumberFormat="1">
      <alignment horizontal="center"/>
    </xf>
    <xf borderId="7" fillId="2" fontId="1" numFmtId="0" xfId="0" applyBorder="1" applyFont="1"/>
    <xf borderId="7" fillId="2" fontId="1" numFmtId="164" xfId="0" applyBorder="1" applyFont="1" applyNumberFormat="1"/>
    <xf borderId="2" fillId="2" fontId="2" numFmtId="0" xfId="0" applyAlignment="1" applyBorder="1" applyFont="1">
      <alignment horizontal="center" readingOrder="0"/>
    </xf>
    <xf borderId="0" fillId="0" fontId="5" numFmtId="0" xfId="0" applyFont="1"/>
    <xf borderId="7" fillId="2" fontId="5" numFmtId="0" xfId="0" applyBorder="1" applyFont="1"/>
    <xf borderId="8" fillId="2" fontId="6" numFmtId="0" xfId="0" applyAlignment="1" applyBorder="1" applyFont="1">
      <alignment horizontal="center"/>
    </xf>
    <xf borderId="9" fillId="0" fontId="3" numFmtId="0" xfId="0" applyBorder="1" applyFont="1"/>
    <xf borderId="0" fillId="0" fontId="7" numFmtId="0" xfId="0" applyFont="1"/>
    <xf borderId="10" fillId="0" fontId="8" numFmtId="0" xfId="0" applyAlignment="1" applyBorder="1" applyFont="1">
      <alignment horizontal="center" vertical="center"/>
    </xf>
    <xf borderId="11" fillId="0" fontId="3" numFmtId="0" xfId="0" applyBorder="1" applyFont="1"/>
    <xf borderId="10" fillId="2" fontId="8" numFmtId="0" xfId="0" applyAlignment="1" applyBorder="1" applyFont="1">
      <alignment horizontal="center" vertical="center"/>
    </xf>
    <xf borderId="12" fillId="0" fontId="3" numFmtId="0" xfId="0" applyBorder="1" applyFont="1"/>
    <xf borderId="13" fillId="2" fontId="8" numFmtId="0" xfId="0" applyAlignment="1" applyBorder="1" applyFont="1">
      <alignment horizontal="center" shrinkToFit="0" textRotation="90" wrapText="1"/>
    </xf>
    <xf borderId="13" fillId="0" fontId="8" numFmtId="0" xfId="0" applyAlignment="1" applyBorder="1" applyFont="1">
      <alignment horizontal="center" shrinkToFit="0" textRotation="90" wrapText="1"/>
    </xf>
    <xf borderId="13" fillId="0" fontId="8" numFmtId="164" xfId="0" applyAlignment="1" applyBorder="1" applyFont="1" applyNumberFormat="1">
      <alignment horizontal="center" shrinkToFit="0" textRotation="90" wrapText="1"/>
    </xf>
    <xf borderId="13" fillId="0" fontId="9" numFmtId="0" xfId="0" applyAlignment="1" applyBorder="1" applyFont="1">
      <alignment horizontal="center" shrinkToFit="0" textRotation="90" wrapText="1"/>
    </xf>
    <xf borderId="14" fillId="0" fontId="8" numFmtId="0" xfId="0" applyAlignment="1" applyBorder="1" applyFont="1">
      <alignment horizontal="center" textRotation="90"/>
    </xf>
    <xf borderId="15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vertical="center"/>
    </xf>
    <xf borderId="16" fillId="0" fontId="3" numFmtId="0" xfId="0" applyBorder="1" applyFont="1"/>
    <xf borderId="10" fillId="0" fontId="8" numFmtId="0" xfId="0" applyAlignment="1" applyBorder="1" applyFont="1">
      <alignment horizontal="center"/>
    </xf>
    <xf borderId="14" fillId="0" fontId="8" numFmtId="14" xfId="0" applyBorder="1" applyFont="1" applyNumberFormat="1"/>
    <xf borderId="14" fillId="0" fontId="10" numFmtId="14" xfId="0" applyAlignment="1" applyBorder="1" applyFont="1" applyNumberFormat="1">
      <alignment horizontal="center"/>
    </xf>
    <xf borderId="14" fillId="0" fontId="10" numFmtId="0" xfId="0" applyAlignment="1" applyBorder="1" applyFont="1">
      <alignment horizontal="center"/>
    </xf>
    <xf borderId="14" fillId="0" fontId="8" numFmtId="0" xfId="0" applyAlignment="1" applyBorder="1" applyFont="1">
      <alignment horizontal="center" readingOrder="0"/>
    </xf>
    <xf borderId="14" fillId="0" fontId="8" numFmtId="0" xfId="0" applyAlignment="1" applyBorder="1" applyFont="1">
      <alignment horizontal="center"/>
    </xf>
    <xf borderId="14" fillId="2" fontId="8" numFmtId="1" xfId="0" applyAlignment="1" applyBorder="1" applyFont="1" applyNumberFormat="1">
      <alignment horizontal="center" vertical="center"/>
    </xf>
    <xf borderId="14" fillId="0" fontId="8" numFmtId="1" xfId="0" applyAlignment="1" applyBorder="1" applyFont="1" applyNumberFormat="1">
      <alignment horizontal="center" vertical="center"/>
    </xf>
    <xf borderId="14" fillId="0" fontId="11" numFmtId="164" xfId="0" applyAlignment="1" applyBorder="1" applyFont="1" applyNumberFormat="1">
      <alignment horizontal="center" vertical="center"/>
    </xf>
    <xf borderId="14" fillId="0" fontId="12" numFmtId="1" xfId="0" applyAlignment="1" applyBorder="1" applyFont="1" applyNumberFormat="1">
      <alignment horizontal="center" vertical="center"/>
    </xf>
    <xf borderId="17" fillId="0" fontId="8" numFmtId="1" xfId="0" applyAlignment="1" applyBorder="1" applyFont="1" applyNumberFormat="1">
      <alignment horizontal="center" vertical="center"/>
    </xf>
    <xf borderId="13" fillId="0" fontId="8" numFmtId="14" xfId="0" applyBorder="1" applyFont="1" applyNumberFormat="1"/>
    <xf borderId="14" fillId="0" fontId="13" numFmtId="0" xfId="0" applyBorder="1" applyFont="1"/>
    <xf borderId="11" fillId="0" fontId="10" numFmtId="14" xfId="0" applyBorder="1" applyFont="1" applyNumberFormat="1"/>
    <xf borderId="11" fillId="0" fontId="10" numFmtId="165" xfId="0" applyBorder="1" applyFont="1" applyNumberFormat="1"/>
    <xf borderId="14" fillId="0" fontId="10" numFmtId="165" xfId="0" applyBorder="1" applyFont="1" applyNumberFormat="1"/>
    <xf borderId="14" fillId="0" fontId="10" numFmtId="166" xfId="0" applyAlignment="1" applyBorder="1" applyFont="1" applyNumberFormat="1">
      <alignment horizontal="center"/>
    </xf>
    <xf borderId="14" fillId="0" fontId="10" numFmtId="14" xfId="0" applyBorder="1" applyFont="1" applyNumberFormat="1"/>
    <xf borderId="14" fillId="2" fontId="8" numFmtId="0" xfId="0" applyAlignment="1" applyBorder="1" applyFont="1">
      <alignment horizontal="center"/>
    </xf>
    <xf borderId="14" fillId="2" fontId="10" numFmtId="0" xfId="0" applyAlignment="1" applyBorder="1" applyFont="1">
      <alignment horizontal="left"/>
    </xf>
    <xf borderId="14" fillId="0" fontId="10" numFmtId="0" xfId="0" applyAlignment="1" applyBorder="1" applyFont="1">
      <alignment horizontal="left"/>
    </xf>
    <xf borderId="7" fillId="2" fontId="10" numFmtId="0" xfId="0" applyAlignment="1" applyBorder="1" applyFont="1">
      <alignment horizontal="left"/>
    </xf>
    <xf borderId="18" fillId="0" fontId="1" numFmtId="0" xfId="0" applyAlignment="1" applyBorder="1" applyFont="1">
      <alignment horizontal="center"/>
    </xf>
    <xf borderId="0" fillId="0" fontId="14" numFmtId="1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19" fillId="2" fontId="15" numFmtId="0" xfId="0" applyBorder="1" applyFont="1"/>
    <xf borderId="20" fillId="2" fontId="15" numFmtId="0" xfId="0" applyBorder="1" applyFont="1"/>
    <xf borderId="20" fillId="2" fontId="15" numFmtId="0" xfId="0" applyAlignment="1" applyBorder="1" applyFont="1">
      <alignment horizontal="center"/>
    </xf>
    <xf borderId="21" fillId="2" fontId="15" numFmtId="0" xfId="0" applyAlignment="1" applyBorder="1" applyFont="1">
      <alignment horizontal="center"/>
    </xf>
    <xf borderId="19" fillId="2" fontId="15" numFmtId="0" xfId="0" applyAlignment="1" applyBorder="1" applyFont="1">
      <alignment horizontal="center"/>
    </xf>
    <xf borderId="7" fillId="2" fontId="15" numFmtId="0" xfId="0" applyAlignment="1" applyBorder="1" applyFont="1">
      <alignment horizontal="center"/>
    </xf>
    <xf borderId="12" fillId="0" fontId="1" numFmtId="1" xfId="0" applyAlignment="1" applyBorder="1" applyFont="1" applyNumberFormat="1">
      <alignment horizontal="center" vertical="center"/>
    </xf>
    <xf borderId="12" fillId="0" fontId="16" numFmtId="164" xfId="0" applyAlignment="1" applyBorder="1" applyFont="1" applyNumberFormat="1">
      <alignment horizontal="center" vertical="center"/>
    </xf>
    <xf borderId="11" fillId="0" fontId="17" numFmtId="1" xfId="0" applyAlignment="1" applyBorder="1" applyFont="1" applyNumberFormat="1">
      <alignment horizontal="center" vertical="center"/>
    </xf>
    <xf borderId="22" fillId="0" fontId="17" numFmtId="1" xfId="0" applyAlignment="1" applyBorder="1" applyFont="1" applyNumberFormat="1">
      <alignment horizontal="center" vertical="center"/>
    </xf>
    <xf borderId="0" fillId="0" fontId="18" numFmtId="1" xfId="0" applyAlignment="1" applyFont="1" applyNumberFormat="1">
      <alignment horizontal="center" vertical="center"/>
    </xf>
    <xf borderId="23" fillId="2" fontId="1" numFmtId="0" xfId="0" applyAlignment="1" applyBorder="1" applyFont="1">
      <alignment horizontal="center"/>
    </xf>
    <xf borderId="7" fillId="2" fontId="14" numFmtId="14" xfId="0" applyAlignment="1" applyBorder="1" applyFont="1" applyNumberFormat="1">
      <alignment horizontal="center"/>
    </xf>
    <xf borderId="20" fillId="2" fontId="1" numFmtId="1" xfId="0" applyAlignment="1" applyBorder="1" applyFont="1" applyNumberFormat="1">
      <alignment horizontal="center" vertical="center"/>
    </xf>
    <xf borderId="20" fillId="2" fontId="16" numFmtId="164" xfId="0" applyAlignment="1" applyBorder="1" applyFont="1" applyNumberFormat="1">
      <alignment horizontal="center" vertical="center"/>
    </xf>
    <xf borderId="21" fillId="2" fontId="17" numFmtId="1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/>
    </xf>
    <xf borderId="22" fillId="0" fontId="1" numFmtId="0" xfId="0" applyBorder="1" applyFont="1"/>
    <xf borderId="10" fillId="2" fontId="19" numFmtId="0" xfId="0" applyAlignment="1" applyBorder="1" applyFont="1">
      <alignment horizontal="left" vertical="center"/>
    </xf>
    <xf borderId="15" fillId="2" fontId="1" numFmtId="0" xfId="0" applyAlignment="1" applyBorder="1" applyFont="1">
      <alignment horizontal="center" vertical="top"/>
    </xf>
    <xf borderId="24" fillId="0" fontId="3" numFmtId="0" xfId="0" applyBorder="1" applyFont="1"/>
    <xf borderId="25" fillId="0" fontId="3" numFmtId="0" xfId="0" applyBorder="1" applyFont="1"/>
    <xf borderId="18" fillId="0" fontId="3" numFmtId="0" xfId="0" applyBorder="1" applyFont="1"/>
    <xf borderId="22" fillId="0" fontId="3" numFmtId="0" xfId="0" applyBorder="1" applyFont="1"/>
    <xf borderId="7" fillId="2" fontId="1" numFmtId="0" xfId="0" applyAlignment="1" applyBorder="1" applyFont="1">
      <alignment horizontal="left"/>
    </xf>
    <xf borderId="7" fillId="2" fontId="1" numFmtId="0" xfId="0" applyAlignment="1" applyBorder="1" applyFont="1">
      <alignment horizontal="center"/>
    </xf>
    <xf borderId="7" fillId="2" fontId="20" numFmtId="0" xfId="0" applyAlignment="1" applyBorder="1" applyFont="1">
      <alignment horizontal="left"/>
    </xf>
    <xf borderId="7" fillId="2" fontId="21" numFmtId="0" xfId="0" applyAlignment="1" applyBorder="1" applyFont="1">
      <alignment horizontal="left"/>
    </xf>
    <xf borderId="7" fillId="2" fontId="21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2" fontId="1" numFmtId="0" xfId="0" applyAlignment="1" applyBorder="1" applyFont="1">
      <alignment horizontal="center"/>
    </xf>
    <xf borderId="30" fillId="2" fontId="1" numFmtId="0" xfId="0" applyBorder="1" applyFont="1"/>
    <xf borderId="30" fillId="2" fontId="1" numFmtId="164" xfId="0" applyBorder="1" applyFont="1" applyNumberFormat="1"/>
    <xf borderId="28" fillId="0" fontId="1" numFmtId="0" xfId="0" applyBorder="1" applyFont="1"/>
    <xf borderId="7" fillId="3" fontId="1" numFmtId="0" xfId="0" applyBorder="1" applyFill="1" applyFont="1"/>
    <xf borderId="0" fillId="0" fontId="1" numFmtId="164" xfId="0" applyFont="1" applyNumberFormat="1"/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0.86"/>
    <col customWidth="1" min="2" max="2" width="3.71"/>
    <col customWidth="1" min="3" max="3" width="23.0"/>
    <col customWidth="1" min="4" max="5" width="10.14"/>
    <col customWidth="1" min="6" max="6" width="3.0"/>
    <col customWidth="1" min="7" max="7" width="4.57"/>
    <col customWidth="1" min="8" max="9" width="3.0"/>
    <col customWidth="1" min="10" max="10" width="2.57"/>
    <col customWidth="1" min="11" max="13" width="3.0"/>
    <col customWidth="1" min="14" max="14" width="3.14"/>
    <col customWidth="1" min="15" max="15" width="2.86"/>
    <col customWidth="1" min="16" max="18" width="3.0"/>
    <col customWidth="1" min="19" max="19" width="3.43"/>
    <col customWidth="1" min="20" max="20" width="4.57"/>
    <col customWidth="1" min="21" max="35" width="3.0"/>
    <col customWidth="1" min="36" max="36" width="4.0"/>
    <col customWidth="1" min="37" max="40" width="4.14"/>
    <col customWidth="1" min="41" max="41" width="5.29"/>
    <col customWidth="1" min="42" max="45" width="4.14"/>
    <col customWidth="1" min="46" max="46" width="5.0"/>
    <col customWidth="1" min="47" max="47" width="5.86"/>
  </cols>
  <sheetData>
    <row r="1" ht="13.5" customHeight="1">
      <c r="A1" s="1"/>
      <c r="B1" s="2"/>
      <c r="C1" s="3" t="s">
        <v>0</v>
      </c>
      <c r="D1" s="4" t="s">
        <v>1</v>
      </c>
      <c r="E1" s="5"/>
      <c r="F1" s="6"/>
      <c r="G1" s="7"/>
      <c r="H1" s="7"/>
      <c r="I1" s="8"/>
      <c r="J1" s="7"/>
      <c r="K1" s="7"/>
      <c r="L1" s="8"/>
      <c r="M1" s="7"/>
      <c r="N1" s="7"/>
      <c r="O1" s="8"/>
      <c r="P1" s="7"/>
      <c r="Q1" s="7"/>
      <c r="R1" s="8"/>
      <c r="S1" s="7"/>
      <c r="T1" s="8"/>
      <c r="U1" s="7"/>
      <c r="V1" s="7"/>
      <c r="W1" s="8"/>
      <c r="X1" s="7"/>
      <c r="Y1" s="7"/>
      <c r="Z1" s="8"/>
      <c r="AA1" s="7"/>
      <c r="AB1" s="7"/>
      <c r="AC1" s="8"/>
      <c r="AD1" s="7"/>
      <c r="AE1" s="9"/>
      <c r="AF1" s="9"/>
      <c r="AG1" s="9"/>
      <c r="AH1" s="9"/>
      <c r="AI1" s="9"/>
      <c r="AJ1" s="9"/>
      <c r="AK1" s="9"/>
      <c r="AL1" s="9"/>
      <c r="AM1" s="9"/>
      <c r="AN1" s="10"/>
      <c r="AO1" s="9"/>
      <c r="AP1" s="9"/>
      <c r="AQ1" s="9"/>
      <c r="AR1" s="9"/>
      <c r="AS1" s="9"/>
      <c r="AT1" s="9"/>
      <c r="AU1" s="9"/>
    </row>
    <row r="2" ht="13.5" customHeight="1">
      <c r="A2" s="1"/>
      <c r="B2" s="2"/>
      <c r="C2" s="3" t="s">
        <v>2</v>
      </c>
      <c r="D2" s="11" t="s">
        <v>3</v>
      </c>
      <c r="E2" s="5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  <c r="AO2" s="9"/>
      <c r="AP2" s="9"/>
      <c r="AQ2" s="9"/>
      <c r="AR2" s="9"/>
      <c r="AS2" s="9"/>
      <c r="AT2" s="9"/>
      <c r="AU2" s="9"/>
    </row>
    <row r="3" ht="13.5" customHeight="1">
      <c r="A3" s="1"/>
      <c r="B3" s="2"/>
      <c r="C3" s="3" t="s">
        <v>4</v>
      </c>
      <c r="D3" s="4">
        <v>2026.0</v>
      </c>
      <c r="E3" s="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  <c r="AO3" s="9"/>
      <c r="AP3" s="9"/>
      <c r="AQ3" s="9"/>
      <c r="AR3" s="9"/>
      <c r="AS3" s="9"/>
      <c r="AT3" s="9"/>
      <c r="AU3" s="9"/>
    </row>
    <row r="4" ht="10.5" customHeight="1">
      <c r="A4" s="1"/>
      <c r="B4" s="2"/>
      <c r="C4" s="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/>
      <c r="AO4" s="9"/>
      <c r="AP4" s="9"/>
      <c r="AQ4" s="9"/>
      <c r="AR4" s="9"/>
      <c r="AS4" s="9"/>
      <c r="AT4" s="9"/>
      <c r="AU4" s="9"/>
    </row>
    <row r="5" ht="10.5" customHeight="1">
      <c r="A5" s="1"/>
      <c r="B5" s="12"/>
      <c r="C5" s="12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</row>
    <row r="6" ht="18.0" customHeight="1">
      <c r="A6" s="16"/>
      <c r="B6" s="17"/>
      <c r="C6" s="18"/>
      <c r="D6" s="17"/>
      <c r="E6" s="19" t="s">
        <v>5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18"/>
      <c r="AK6" s="21" t="s">
        <v>6</v>
      </c>
      <c r="AL6" s="22" t="s">
        <v>7</v>
      </c>
      <c r="AM6" s="22" t="s">
        <v>8</v>
      </c>
      <c r="AN6" s="23" t="s">
        <v>9</v>
      </c>
      <c r="AO6" s="22" t="s">
        <v>10</v>
      </c>
      <c r="AP6" s="22" t="s">
        <v>11</v>
      </c>
      <c r="AQ6" s="22" t="s">
        <v>12</v>
      </c>
      <c r="AR6" s="22" t="s">
        <v>13</v>
      </c>
      <c r="AS6" s="24" t="s">
        <v>14</v>
      </c>
      <c r="AT6" s="24" t="s">
        <v>15</v>
      </c>
      <c r="AU6" s="22" t="s">
        <v>16</v>
      </c>
    </row>
    <row r="7" ht="26.25" customHeight="1">
      <c r="A7" s="1"/>
      <c r="B7" s="25" t="s">
        <v>17</v>
      </c>
      <c r="C7" s="26" t="s">
        <v>18</v>
      </c>
      <c r="D7" s="27" t="s">
        <v>19</v>
      </c>
      <c r="E7" s="27" t="s">
        <v>20</v>
      </c>
      <c r="F7" s="28">
        <v>1.0</v>
      </c>
      <c r="G7" s="28">
        <v>2.0</v>
      </c>
      <c r="H7" s="28">
        <v>3.0</v>
      </c>
      <c r="I7" s="28">
        <v>4.0</v>
      </c>
      <c r="J7" s="28">
        <v>5.0</v>
      </c>
      <c r="K7" s="28">
        <v>6.0</v>
      </c>
      <c r="L7" s="28">
        <v>7.0</v>
      </c>
      <c r="M7" s="28">
        <v>8.0</v>
      </c>
      <c r="N7" s="28">
        <v>9.0</v>
      </c>
      <c r="O7" s="28">
        <v>10.0</v>
      </c>
      <c r="P7" s="28">
        <v>11.0</v>
      </c>
      <c r="Q7" s="28">
        <v>12.0</v>
      </c>
      <c r="R7" s="28">
        <v>13.0</v>
      </c>
      <c r="S7" s="28">
        <v>14.0</v>
      </c>
      <c r="T7" s="28">
        <v>15.0</v>
      </c>
      <c r="U7" s="28">
        <v>16.0</v>
      </c>
      <c r="V7" s="28">
        <v>17.0</v>
      </c>
      <c r="W7" s="28">
        <v>18.0</v>
      </c>
      <c r="X7" s="28">
        <v>19.0</v>
      </c>
      <c r="Y7" s="28">
        <v>20.0</v>
      </c>
      <c r="Z7" s="28">
        <v>21.0</v>
      </c>
      <c r="AA7" s="28">
        <v>22.0</v>
      </c>
      <c r="AB7" s="28">
        <v>23.0</v>
      </c>
      <c r="AC7" s="28">
        <v>24.0</v>
      </c>
      <c r="AD7" s="28">
        <v>25.0</v>
      </c>
      <c r="AE7" s="28">
        <v>26.0</v>
      </c>
      <c r="AF7" s="28">
        <v>27.0</v>
      </c>
      <c r="AG7" s="28">
        <v>28.0</v>
      </c>
      <c r="AH7" s="28">
        <v>29.0</v>
      </c>
      <c r="AI7" s="28">
        <v>30.0</v>
      </c>
      <c r="AJ7" s="28">
        <v>31.0</v>
      </c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>
      <c r="A8" s="1"/>
      <c r="B8" s="30">
        <v>1.0</v>
      </c>
      <c r="C8" s="31" t="s">
        <v>21</v>
      </c>
      <c r="D8" s="32"/>
      <c r="E8" s="33"/>
      <c r="F8" s="34" t="s">
        <v>22</v>
      </c>
      <c r="G8" s="34" t="s">
        <v>22</v>
      </c>
      <c r="H8" s="34" t="s">
        <v>22</v>
      </c>
      <c r="I8" s="34" t="s">
        <v>22</v>
      </c>
      <c r="J8" s="34" t="s">
        <v>23</v>
      </c>
      <c r="K8" s="34" t="s">
        <v>22</v>
      </c>
      <c r="L8" s="34" t="s">
        <v>22</v>
      </c>
      <c r="M8" s="34" t="s">
        <v>22</v>
      </c>
      <c r="N8" s="34" t="s">
        <v>22</v>
      </c>
      <c r="O8" s="34" t="s">
        <v>22</v>
      </c>
      <c r="P8" s="34" t="s">
        <v>23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6">
        <f t="shared" ref="AK8:AK12" si="1">COUNTIF(F8:AJ8,"X")+COUNTIF(F8:AJ8,"H")*COUNTIF(F8:AJ8,"İZ")</f>
        <v>9</v>
      </c>
      <c r="AL8" s="37">
        <f t="shared" ref="AL8:AL12" si="2">COUNTIF(F8:AJ8,"HT")</f>
        <v>2</v>
      </c>
      <c r="AM8" s="37">
        <f t="shared" ref="AM8:AM12" si="3">COUNTIF(E8:AI8,"Tİ")</f>
        <v>0</v>
      </c>
      <c r="AN8" s="38">
        <f t="shared" ref="AN8:AN12" si="4">COUNTIF(F8:AJ8,"B")</f>
        <v>0</v>
      </c>
      <c r="AO8" s="37">
        <f t="shared" ref="AO8:AO12" si="5">COUNTIF(F8:AJ8,"Yİ")</f>
        <v>0</v>
      </c>
      <c r="AP8" s="37">
        <f t="shared" ref="AP8:AP12" si="6">COUNTIF(F8:AJ8,"İZ")</f>
        <v>0</v>
      </c>
      <c r="AQ8" s="37">
        <f t="shared" ref="AQ8:AQ12" si="7">COUNTIF(H8:AL8,"G")</f>
        <v>0</v>
      </c>
      <c r="AR8" s="37">
        <f t="shared" ref="AR8:AR12" si="8">COUNTIF(F8:AJ8,"ÜCS")</f>
        <v>0</v>
      </c>
      <c r="AS8" s="39">
        <f t="shared" ref="AS8:AS12" si="9">COUNTIF(F8:AJ8,"D")</f>
        <v>0</v>
      </c>
      <c r="AT8" s="39">
        <f t="shared" ref="AT8:AT12" si="10">COUNTIF(F8:AR8,"H")+COUNTIF(F8:AR8,"RP")</f>
        <v>0</v>
      </c>
      <c r="AU8" s="40">
        <f>SUM(AK8:AQ8)</f>
        <v>11</v>
      </c>
    </row>
    <row r="9">
      <c r="A9" s="1"/>
      <c r="B9" s="30">
        <v>2.0</v>
      </c>
      <c r="C9" s="41" t="s">
        <v>24</v>
      </c>
      <c r="D9" s="32"/>
      <c r="E9" s="33"/>
      <c r="F9" s="34" t="s">
        <v>22</v>
      </c>
      <c r="G9" s="34" t="s">
        <v>22</v>
      </c>
      <c r="H9" s="34" t="s">
        <v>22</v>
      </c>
      <c r="I9" s="34" t="s">
        <v>22</v>
      </c>
      <c r="J9" s="34" t="s">
        <v>22</v>
      </c>
      <c r="K9" s="34" t="s">
        <v>22</v>
      </c>
      <c r="L9" s="34" t="s">
        <v>22</v>
      </c>
      <c r="M9" s="34" t="s">
        <v>23</v>
      </c>
      <c r="N9" s="34" t="s">
        <v>22</v>
      </c>
      <c r="O9" s="34" t="s">
        <v>22</v>
      </c>
      <c r="P9" s="34" t="s">
        <v>22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6">
        <f t="shared" si="1"/>
        <v>10</v>
      </c>
      <c r="AL9" s="37">
        <f t="shared" si="2"/>
        <v>1</v>
      </c>
      <c r="AM9" s="37">
        <f t="shared" si="3"/>
        <v>0</v>
      </c>
      <c r="AN9" s="38">
        <f t="shared" si="4"/>
        <v>0</v>
      </c>
      <c r="AO9" s="37">
        <f t="shared" si="5"/>
        <v>0</v>
      </c>
      <c r="AP9" s="37">
        <f t="shared" si="6"/>
        <v>0</v>
      </c>
      <c r="AQ9" s="37">
        <f t="shared" si="7"/>
        <v>0</v>
      </c>
      <c r="AR9" s="37">
        <f t="shared" si="8"/>
        <v>0</v>
      </c>
      <c r="AS9" s="39">
        <f t="shared" si="9"/>
        <v>0</v>
      </c>
      <c r="AT9" s="39">
        <f t="shared" si="10"/>
        <v>0</v>
      </c>
      <c r="AU9" s="40">
        <f>SUM(AK9:AT9)</f>
        <v>11</v>
      </c>
    </row>
    <row r="10">
      <c r="A10" s="1"/>
      <c r="B10" s="30">
        <v>3.0</v>
      </c>
      <c r="C10" s="42" t="s">
        <v>25</v>
      </c>
      <c r="D10" s="43"/>
      <c r="E10" s="33"/>
      <c r="F10" s="34" t="s">
        <v>22</v>
      </c>
      <c r="G10" s="34" t="s">
        <v>22</v>
      </c>
      <c r="H10" s="34" t="s">
        <v>23</v>
      </c>
      <c r="I10" s="34" t="s">
        <v>22</v>
      </c>
      <c r="J10" s="34" t="s">
        <v>22</v>
      </c>
      <c r="K10" s="34" t="s">
        <v>22</v>
      </c>
      <c r="L10" s="34" t="s">
        <v>22</v>
      </c>
      <c r="M10" s="34" t="s">
        <v>22</v>
      </c>
      <c r="N10" s="34" t="s">
        <v>23</v>
      </c>
      <c r="O10" s="34" t="s">
        <v>22</v>
      </c>
      <c r="P10" s="34" t="s">
        <v>22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6">
        <f t="shared" si="1"/>
        <v>9</v>
      </c>
      <c r="AL10" s="37">
        <f t="shared" si="2"/>
        <v>2</v>
      </c>
      <c r="AM10" s="37">
        <f t="shared" si="3"/>
        <v>0</v>
      </c>
      <c r="AN10" s="38">
        <f t="shared" si="4"/>
        <v>0</v>
      </c>
      <c r="AO10" s="37">
        <f t="shared" si="5"/>
        <v>0</v>
      </c>
      <c r="AP10" s="37">
        <f t="shared" si="6"/>
        <v>0</v>
      </c>
      <c r="AQ10" s="37">
        <f t="shared" si="7"/>
        <v>0</v>
      </c>
      <c r="AR10" s="37">
        <f t="shared" si="8"/>
        <v>0</v>
      </c>
      <c r="AS10" s="39">
        <f t="shared" si="9"/>
        <v>0</v>
      </c>
      <c r="AT10" s="39">
        <f t="shared" si="10"/>
        <v>0</v>
      </c>
      <c r="AU10" s="40"/>
    </row>
    <row r="11">
      <c r="A11" s="1"/>
      <c r="B11" s="30">
        <v>4.0</v>
      </c>
      <c r="C11" s="42" t="s">
        <v>26</v>
      </c>
      <c r="D11" s="44"/>
      <c r="E11" s="33"/>
      <c r="F11" s="34" t="s">
        <v>22</v>
      </c>
      <c r="G11" s="34" t="s">
        <v>22</v>
      </c>
      <c r="H11" s="34" t="s">
        <v>23</v>
      </c>
      <c r="I11" s="34" t="s">
        <v>22</v>
      </c>
      <c r="J11" s="34" t="s">
        <v>22</v>
      </c>
      <c r="K11" s="34" t="s">
        <v>22</v>
      </c>
      <c r="L11" s="34" t="s">
        <v>22</v>
      </c>
      <c r="M11" s="34" t="s">
        <v>22</v>
      </c>
      <c r="N11" s="34" t="s">
        <v>23</v>
      </c>
      <c r="O11" s="34" t="s">
        <v>22</v>
      </c>
      <c r="P11" s="34" t="s">
        <v>22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6">
        <f t="shared" si="1"/>
        <v>9</v>
      </c>
      <c r="AL11" s="37">
        <f t="shared" si="2"/>
        <v>2</v>
      </c>
      <c r="AM11" s="37">
        <f t="shared" si="3"/>
        <v>0</v>
      </c>
      <c r="AN11" s="38">
        <f t="shared" si="4"/>
        <v>0</v>
      </c>
      <c r="AO11" s="37">
        <f t="shared" si="5"/>
        <v>0</v>
      </c>
      <c r="AP11" s="37">
        <f t="shared" si="6"/>
        <v>0</v>
      </c>
      <c r="AQ11" s="37">
        <f t="shared" si="7"/>
        <v>0</v>
      </c>
      <c r="AR11" s="37">
        <f t="shared" si="8"/>
        <v>0</v>
      </c>
      <c r="AS11" s="39">
        <f t="shared" si="9"/>
        <v>0</v>
      </c>
      <c r="AT11" s="39">
        <f t="shared" si="10"/>
        <v>0</v>
      </c>
      <c r="AU11" s="40"/>
    </row>
    <row r="12">
      <c r="A12" s="1"/>
      <c r="B12" s="30">
        <v>5.0</v>
      </c>
      <c r="C12" s="42" t="s">
        <v>27</v>
      </c>
      <c r="D12" s="45"/>
      <c r="E12" s="46"/>
      <c r="F12" s="34" t="s">
        <v>22</v>
      </c>
      <c r="G12" s="34" t="s">
        <v>23</v>
      </c>
      <c r="H12" s="34" t="s">
        <v>22</v>
      </c>
      <c r="I12" s="34" t="s">
        <v>22</v>
      </c>
      <c r="J12" s="34" t="s">
        <v>22</v>
      </c>
      <c r="K12" s="34" t="s">
        <v>22</v>
      </c>
      <c r="L12" s="34" t="s">
        <v>22</v>
      </c>
      <c r="M12" s="34" t="s">
        <v>23</v>
      </c>
      <c r="N12" s="34" t="s">
        <v>22</v>
      </c>
      <c r="O12" s="34" t="s">
        <v>22</v>
      </c>
      <c r="P12" s="34" t="s">
        <v>22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6">
        <f t="shared" si="1"/>
        <v>9</v>
      </c>
      <c r="AL12" s="37">
        <f t="shared" si="2"/>
        <v>2</v>
      </c>
      <c r="AM12" s="37">
        <f t="shared" si="3"/>
        <v>0</v>
      </c>
      <c r="AN12" s="38">
        <f t="shared" si="4"/>
        <v>0</v>
      </c>
      <c r="AO12" s="37">
        <f t="shared" si="5"/>
        <v>0</v>
      </c>
      <c r="AP12" s="37">
        <f t="shared" si="6"/>
        <v>0</v>
      </c>
      <c r="AQ12" s="37">
        <f t="shared" si="7"/>
        <v>0</v>
      </c>
      <c r="AR12" s="37">
        <f t="shared" si="8"/>
        <v>0</v>
      </c>
      <c r="AS12" s="39">
        <f t="shared" si="9"/>
        <v>0</v>
      </c>
      <c r="AT12" s="39">
        <f t="shared" si="10"/>
        <v>0</v>
      </c>
      <c r="AU12" s="40"/>
    </row>
    <row r="13" ht="10.5" customHeight="1">
      <c r="A13" s="1"/>
      <c r="B13" s="30">
        <v>7.0</v>
      </c>
      <c r="C13" s="42"/>
      <c r="D13" s="47"/>
      <c r="E13" s="3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48"/>
      <c r="AK13" s="36"/>
      <c r="AL13" s="37"/>
      <c r="AM13" s="37"/>
      <c r="AN13" s="38"/>
      <c r="AO13" s="37"/>
      <c r="AP13" s="37"/>
      <c r="AQ13" s="37"/>
      <c r="AR13" s="37"/>
      <c r="AS13" s="39"/>
      <c r="AT13" s="39"/>
      <c r="AU13" s="40"/>
    </row>
    <row r="14" ht="10.5" customHeight="1">
      <c r="A14" s="1"/>
      <c r="B14" s="30">
        <v>8.0</v>
      </c>
      <c r="C14" s="42"/>
      <c r="D14" s="47"/>
      <c r="E14" s="33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48"/>
      <c r="AK14" s="36"/>
      <c r="AL14" s="37"/>
      <c r="AM14" s="37"/>
      <c r="AN14" s="38"/>
      <c r="AO14" s="37"/>
      <c r="AP14" s="37"/>
      <c r="AQ14" s="37"/>
      <c r="AR14" s="37"/>
      <c r="AS14" s="39"/>
      <c r="AT14" s="39"/>
      <c r="AU14" s="40"/>
    </row>
    <row r="15" ht="10.5" customHeight="1">
      <c r="A15" s="1"/>
      <c r="B15" s="30">
        <v>9.0</v>
      </c>
      <c r="C15" s="42"/>
      <c r="D15" s="47"/>
      <c r="E15" s="33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48"/>
      <c r="AK15" s="36"/>
      <c r="AL15" s="37"/>
      <c r="AM15" s="37"/>
      <c r="AN15" s="38"/>
      <c r="AO15" s="37"/>
      <c r="AP15" s="37"/>
      <c r="AQ15" s="37"/>
      <c r="AR15" s="37"/>
      <c r="AS15" s="39"/>
      <c r="AT15" s="39"/>
      <c r="AU15" s="40"/>
    </row>
    <row r="16" ht="10.5" customHeight="1">
      <c r="A16" s="1"/>
      <c r="B16" s="30">
        <v>9.0</v>
      </c>
      <c r="C16" s="47"/>
      <c r="D16" s="47"/>
      <c r="E16" s="3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48"/>
      <c r="AK16" s="36"/>
      <c r="AL16" s="37"/>
      <c r="AM16" s="37"/>
      <c r="AN16" s="38"/>
      <c r="AO16" s="37"/>
      <c r="AP16" s="37"/>
      <c r="AQ16" s="37" t="s">
        <v>28</v>
      </c>
      <c r="AR16" s="37"/>
      <c r="AS16" s="39"/>
      <c r="AT16" s="39"/>
      <c r="AU16" s="40"/>
    </row>
    <row r="17" ht="10.5" customHeight="1">
      <c r="A17" s="1"/>
      <c r="B17" s="30">
        <v>9.0</v>
      </c>
      <c r="C17" s="47"/>
      <c r="D17" s="47"/>
      <c r="E17" s="33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48"/>
      <c r="AK17" s="36"/>
      <c r="AL17" s="37"/>
      <c r="AM17" s="37"/>
      <c r="AN17" s="38"/>
      <c r="AO17" s="37"/>
      <c r="AP17" s="37"/>
      <c r="AQ17" s="37"/>
      <c r="AR17" s="37"/>
      <c r="AS17" s="39"/>
      <c r="AT17" s="39"/>
      <c r="AU17" s="40"/>
    </row>
    <row r="18" ht="10.5" customHeight="1">
      <c r="A18" s="1"/>
      <c r="B18" s="30">
        <v>9.0</v>
      </c>
      <c r="C18" s="47"/>
      <c r="D18" s="47"/>
      <c r="E18" s="33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48"/>
      <c r="AK18" s="36"/>
      <c r="AL18" s="37"/>
      <c r="AM18" s="37"/>
      <c r="AN18" s="38"/>
      <c r="AO18" s="37"/>
      <c r="AP18" s="37"/>
      <c r="AQ18" s="37"/>
      <c r="AR18" s="37"/>
      <c r="AS18" s="39"/>
      <c r="AT18" s="39"/>
      <c r="AU18" s="40"/>
    </row>
    <row r="19" ht="10.5" customHeight="1">
      <c r="A19" s="1"/>
      <c r="B19" s="30">
        <v>9.0</v>
      </c>
      <c r="C19" s="47"/>
      <c r="D19" s="47"/>
      <c r="E19" s="33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48"/>
      <c r="AK19" s="36"/>
      <c r="AL19" s="37"/>
      <c r="AM19" s="37"/>
      <c r="AN19" s="38"/>
      <c r="AO19" s="37"/>
      <c r="AP19" s="37"/>
      <c r="AQ19" s="37"/>
      <c r="AR19" s="37"/>
      <c r="AS19" s="39"/>
      <c r="AT19" s="39"/>
      <c r="AU19" s="40"/>
    </row>
    <row r="20" ht="10.5" customHeight="1">
      <c r="A20" s="1"/>
      <c r="B20" s="30">
        <v>9.0</v>
      </c>
      <c r="C20" s="47"/>
      <c r="D20" s="47"/>
      <c r="E20" s="33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48"/>
      <c r="AK20" s="36"/>
      <c r="AL20" s="37"/>
      <c r="AM20" s="37"/>
      <c r="AN20" s="38"/>
      <c r="AO20" s="37"/>
      <c r="AP20" s="37"/>
      <c r="AQ20" s="37"/>
      <c r="AR20" s="37"/>
      <c r="AS20" s="39"/>
      <c r="AT20" s="39"/>
      <c r="AU20" s="40"/>
    </row>
    <row r="21" ht="10.5" customHeight="1">
      <c r="A21" s="1"/>
      <c r="B21" s="30">
        <v>9.0</v>
      </c>
      <c r="C21" s="47"/>
      <c r="D21" s="47"/>
      <c r="E21" s="33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48"/>
      <c r="AK21" s="36"/>
      <c r="AL21" s="37"/>
      <c r="AM21" s="37"/>
      <c r="AN21" s="38"/>
      <c r="AO21" s="37"/>
      <c r="AP21" s="37"/>
      <c r="AQ21" s="37"/>
      <c r="AR21" s="37"/>
      <c r="AS21" s="39"/>
      <c r="AT21" s="39"/>
      <c r="AU21" s="40"/>
    </row>
    <row r="22" ht="10.5" customHeight="1">
      <c r="A22" s="1"/>
      <c r="B22" s="30">
        <v>9.0</v>
      </c>
      <c r="C22" s="47"/>
      <c r="D22" s="47"/>
      <c r="E22" s="33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48"/>
      <c r="AK22" s="36"/>
      <c r="AL22" s="37"/>
      <c r="AM22" s="37"/>
      <c r="AN22" s="38"/>
      <c r="AO22" s="37"/>
      <c r="AP22" s="37"/>
      <c r="AQ22" s="37"/>
      <c r="AR22" s="37"/>
      <c r="AS22" s="39"/>
      <c r="AT22" s="39"/>
      <c r="AU22" s="40"/>
    </row>
    <row r="23" ht="10.5" customHeight="1">
      <c r="A23" s="1"/>
      <c r="B23" s="30">
        <v>9.0</v>
      </c>
      <c r="C23" s="47"/>
      <c r="D23" s="47"/>
      <c r="E23" s="33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48"/>
      <c r="AK23" s="36"/>
      <c r="AL23" s="37"/>
      <c r="AM23" s="37"/>
      <c r="AN23" s="38"/>
      <c r="AO23" s="37"/>
      <c r="AP23" s="37"/>
      <c r="AQ23" s="37"/>
      <c r="AR23" s="37"/>
      <c r="AS23" s="39"/>
      <c r="AT23" s="39"/>
      <c r="AU23" s="40"/>
    </row>
    <row r="24" ht="10.5" customHeight="1">
      <c r="A24" s="1"/>
      <c r="B24" s="30">
        <v>9.0</v>
      </c>
      <c r="C24" s="47"/>
      <c r="D24" s="47"/>
      <c r="E24" s="33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48"/>
      <c r="AK24" s="36"/>
      <c r="AL24" s="37"/>
      <c r="AM24" s="37"/>
      <c r="AN24" s="38"/>
      <c r="AO24" s="37"/>
      <c r="AP24" s="37"/>
      <c r="AQ24" s="37"/>
      <c r="AR24" s="37"/>
      <c r="AS24" s="39"/>
      <c r="AT24" s="39"/>
      <c r="AU24" s="40"/>
    </row>
    <row r="25" ht="10.5" customHeight="1">
      <c r="A25" s="1"/>
      <c r="B25" s="30">
        <v>9.0</v>
      </c>
      <c r="C25" s="47"/>
      <c r="D25" s="47"/>
      <c r="E25" s="33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48"/>
      <c r="AK25" s="36"/>
      <c r="AL25" s="37"/>
      <c r="AM25" s="37"/>
      <c r="AN25" s="38"/>
      <c r="AO25" s="37"/>
      <c r="AP25" s="37"/>
      <c r="AQ25" s="37"/>
      <c r="AR25" s="37"/>
      <c r="AS25" s="39"/>
      <c r="AT25" s="39"/>
      <c r="AU25" s="40"/>
    </row>
    <row r="26" ht="10.5" customHeight="1">
      <c r="A26" s="1"/>
      <c r="B26" s="30">
        <v>9.0</v>
      </c>
      <c r="C26" s="49"/>
      <c r="D26" s="47"/>
      <c r="E26" s="33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48"/>
      <c r="AK26" s="36"/>
      <c r="AL26" s="37"/>
      <c r="AM26" s="37"/>
      <c r="AN26" s="38"/>
      <c r="AO26" s="37"/>
      <c r="AP26" s="37"/>
      <c r="AQ26" s="37"/>
      <c r="AR26" s="37"/>
      <c r="AS26" s="39"/>
      <c r="AT26" s="39"/>
      <c r="AU26" s="40"/>
    </row>
    <row r="27" ht="10.5" customHeight="1">
      <c r="A27" s="1"/>
      <c r="B27" s="30">
        <v>9.0</v>
      </c>
      <c r="C27" s="50"/>
      <c r="D27" s="32"/>
      <c r="E27" s="3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48"/>
      <c r="AK27" s="36">
        <f t="shared" ref="AK27:AK35" si="12">COUNTIF(F27:AJ27,"X")+COUNTIF(F27:AJ27,"H")*COUNTIF(F27:AJ27,"İZ")</f>
        <v>0</v>
      </c>
      <c r="AL27" s="36">
        <f t="shared" ref="AL27:AL35" si="13">COUNTIF(F27:AJ27,"HT")</f>
        <v>0</v>
      </c>
      <c r="AM27" s="37">
        <f t="shared" ref="AM27:AM35" si="14">COUNTIF(E27:AI27,"Tİ")</f>
        <v>0</v>
      </c>
      <c r="AN27" s="38">
        <f t="shared" ref="AN27:AN35" si="15">COUNTIF(F27:AJ27,"B")</f>
        <v>0</v>
      </c>
      <c r="AO27" s="37">
        <f t="shared" ref="AO27:AO35" si="16">COUNTIF(F27:AJ27,"Yİ")</f>
        <v>0</v>
      </c>
      <c r="AP27" s="37">
        <f t="shared" ref="AP27:AP35" si="17">COUNTIF(F27:AJ27,"İZ")</f>
        <v>0</v>
      </c>
      <c r="AQ27" s="37">
        <f t="shared" ref="AQ27:AQ35" si="18">COUNTIF(H27:AL27,"G")</f>
        <v>0</v>
      </c>
      <c r="AR27" s="37">
        <f t="shared" ref="AR27:AR35" si="19">COUNTIF(F27:AJ27,"ÜCS")</f>
        <v>0</v>
      </c>
      <c r="AS27" s="39">
        <f t="shared" ref="AS27:AS35" si="20">COUNTIF(F27:AJ27,"D")</f>
        <v>0</v>
      </c>
      <c r="AT27" s="39">
        <f t="shared" ref="AT27:AU27" si="11">COUNTIF(F27:AR27,"H")+COUNTIF(F27:AR27,"RP")</f>
        <v>0</v>
      </c>
      <c r="AU27" s="39">
        <f t="shared" si="11"/>
        <v>0</v>
      </c>
    </row>
    <row r="28" ht="10.5" customHeight="1">
      <c r="A28" s="1"/>
      <c r="B28" s="30">
        <v>9.0</v>
      </c>
      <c r="C28" s="50"/>
      <c r="D28" s="32"/>
      <c r="E28" s="32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48"/>
      <c r="AK28" s="36">
        <f t="shared" si="12"/>
        <v>0</v>
      </c>
      <c r="AL28" s="36">
        <f t="shared" si="13"/>
        <v>0</v>
      </c>
      <c r="AM28" s="37">
        <f t="shared" si="14"/>
        <v>0</v>
      </c>
      <c r="AN28" s="38">
        <f t="shared" si="15"/>
        <v>0</v>
      </c>
      <c r="AO28" s="37">
        <f t="shared" si="16"/>
        <v>0</v>
      </c>
      <c r="AP28" s="37">
        <f t="shared" si="17"/>
        <v>0</v>
      </c>
      <c r="AQ28" s="37">
        <f t="shared" si="18"/>
        <v>0</v>
      </c>
      <c r="AR28" s="37">
        <f t="shared" si="19"/>
        <v>0</v>
      </c>
      <c r="AS28" s="39">
        <f t="shared" si="20"/>
        <v>0</v>
      </c>
      <c r="AT28" s="39">
        <f t="shared" ref="AT28:AT35" si="21">COUNTIF(F28:AR28,"H")+COUNTIF(F28:AR28,"RP")</f>
        <v>0</v>
      </c>
      <c r="AU28" s="40">
        <f t="shared" ref="AU28:AU35" si="22">SUM(AK28:AT28)</f>
        <v>0</v>
      </c>
    </row>
    <row r="29" ht="10.5" customHeight="1">
      <c r="A29" s="1"/>
      <c r="B29" s="30">
        <v>9.0</v>
      </c>
      <c r="C29" s="50"/>
      <c r="D29" s="32"/>
      <c r="E29" s="32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48"/>
      <c r="AK29" s="36">
        <f t="shared" si="12"/>
        <v>0</v>
      </c>
      <c r="AL29" s="36">
        <f t="shared" si="13"/>
        <v>0</v>
      </c>
      <c r="AM29" s="37">
        <f t="shared" si="14"/>
        <v>0</v>
      </c>
      <c r="AN29" s="38">
        <f t="shared" si="15"/>
        <v>0</v>
      </c>
      <c r="AO29" s="37">
        <f t="shared" si="16"/>
        <v>0</v>
      </c>
      <c r="AP29" s="37">
        <f t="shared" si="17"/>
        <v>0</v>
      </c>
      <c r="AQ29" s="37">
        <f t="shared" si="18"/>
        <v>0</v>
      </c>
      <c r="AR29" s="37">
        <f t="shared" si="19"/>
        <v>0</v>
      </c>
      <c r="AS29" s="39">
        <f t="shared" si="20"/>
        <v>0</v>
      </c>
      <c r="AT29" s="39">
        <f t="shared" si="21"/>
        <v>0</v>
      </c>
      <c r="AU29" s="40">
        <f t="shared" si="22"/>
        <v>0</v>
      </c>
    </row>
    <row r="30" ht="10.5" customHeight="1">
      <c r="A30" s="1"/>
      <c r="B30" s="30">
        <v>9.0</v>
      </c>
      <c r="C30" s="50"/>
      <c r="D30" s="32"/>
      <c r="E30" s="32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48"/>
      <c r="AK30" s="36">
        <f t="shared" si="12"/>
        <v>0</v>
      </c>
      <c r="AL30" s="36">
        <f t="shared" si="13"/>
        <v>0</v>
      </c>
      <c r="AM30" s="37">
        <f t="shared" si="14"/>
        <v>0</v>
      </c>
      <c r="AN30" s="38">
        <f t="shared" si="15"/>
        <v>0</v>
      </c>
      <c r="AO30" s="37">
        <f t="shared" si="16"/>
        <v>0</v>
      </c>
      <c r="AP30" s="37">
        <f t="shared" si="17"/>
        <v>0</v>
      </c>
      <c r="AQ30" s="37">
        <f t="shared" si="18"/>
        <v>0</v>
      </c>
      <c r="AR30" s="37">
        <f t="shared" si="19"/>
        <v>0</v>
      </c>
      <c r="AS30" s="39">
        <f t="shared" si="20"/>
        <v>0</v>
      </c>
      <c r="AT30" s="39">
        <f t="shared" si="21"/>
        <v>0</v>
      </c>
      <c r="AU30" s="40">
        <f t="shared" si="22"/>
        <v>0</v>
      </c>
    </row>
    <row r="31" ht="10.5" customHeight="1">
      <c r="A31" s="1"/>
      <c r="B31" s="30">
        <v>9.0</v>
      </c>
      <c r="C31" s="50"/>
      <c r="D31" s="32"/>
      <c r="E31" s="32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48"/>
      <c r="AK31" s="36">
        <f t="shared" si="12"/>
        <v>0</v>
      </c>
      <c r="AL31" s="36">
        <f t="shared" si="13"/>
        <v>0</v>
      </c>
      <c r="AM31" s="37">
        <f t="shared" si="14"/>
        <v>0</v>
      </c>
      <c r="AN31" s="38">
        <f t="shared" si="15"/>
        <v>0</v>
      </c>
      <c r="AO31" s="37">
        <f t="shared" si="16"/>
        <v>0</v>
      </c>
      <c r="AP31" s="37">
        <f t="shared" si="17"/>
        <v>0</v>
      </c>
      <c r="AQ31" s="37">
        <f t="shared" si="18"/>
        <v>0</v>
      </c>
      <c r="AR31" s="37">
        <f t="shared" si="19"/>
        <v>0</v>
      </c>
      <c r="AS31" s="39">
        <f t="shared" si="20"/>
        <v>0</v>
      </c>
      <c r="AT31" s="39">
        <f t="shared" si="21"/>
        <v>0</v>
      </c>
      <c r="AU31" s="40">
        <f t="shared" si="22"/>
        <v>0</v>
      </c>
    </row>
    <row r="32" ht="10.5" customHeight="1">
      <c r="A32" s="1"/>
      <c r="B32" s="30">
        <v>9.0</v>
      </c>
      <c r="C32" s="50"/>
      <c r="D32" s="32"/>
      <c r="E32" s="32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48"/>
      <c r="AK32" s="36">
        <f t="shared" si="12"/>
        <v>0</v>
      </c>
      <c r="AL32" s="36">
        <f t="shared" si="13"/>
        <v>0</v>
      </c>
      <c r="AM32" s="37">
        <f t="shared" si="14"/>
        <v>0</v>
      </c>
      <c r="AN32" s="38">
        <f t="shared" si="15"/>
        <v>0</v>
      </c>
      <c r="AO32" s="37">
        <f t="shared" si="16"/>
        <v>0</v>
      </c>
      <c r="AP32" s="37">
        <f t="shared" si="17"/>
        <v>0</v>
      </c>
      <c r="AQ32" s="37">
        <f t="shared" si="18"/>
        <v>0</v>
      </c>
      <c r="AR32" s="37">
        <f t="shared" si="19"/>
        <v>0</v>
      </c>
      <c r="AS32" s="39">
        <f t="shared" si="20"/>
        <v>0</v>
      </c>
      <c r="AT32" s="39">
        <f t="shared" si="21"/>
        <v>0</v>
      </c>
      <c r="AU32" s="40">
        <f t="shared" si="22"/>
        <v>0</v>
      </c>
    </row>
    <row r="33" ht="10.5" customHeight="1">
      <c r="A33" s="1"/>
      <c r="B33" s="30">
        <v>9.0</v>
      </c>
      <c r="C33" s="50"/>
      <c r="D33" s="32"/>
      <c r="E33" s="32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48"/>
      <c r="AK33" s="36">
        <f t="shared" si="12"/>
        <v>0</v>
      </c>
      <c r="AL33" s="36">
        <f t="shared" si="13"/>
        <v>0</v>
      </c>
      <c r="AM33" s="37">
        <f t="shared" si="14"/>
        <v>0</v>
      </c>
      <c r="AN33" s="38">
        <f t="shared" si="15"/>
        <v>0</v>
      </c>
      <c r="AO33" s="37">
        <f t="shared" si="16"/>
        <v>0</v>
      </c>
      <c r="AP33" s="37">
        <f t="shared" si="17"/>
        <v>0</v>
      </c>
      <c r="AQ33" s="37">
        <f t="shared" si="18"/>
        <v>0</v>
      </c>
      <c r="AR33" s="37">
        <f t="shared" si="19"/>
        <v>0</v>
      </c>
      <c r="AS33" s="39">
        <f t="shared" si="20"/>
        <v>0</v>
      </c>
      <c r="AT33" s="39">
        <f t="shared" si="21"/>
        <v>0</v>
      </c>
      <c r="AU33" s="40">
        <f t="shared" si="22"/>
        <v>0</v>
      </c>
    </row>
    <row r="34" ht="10.5" customHeight="1">
      <c r="A34" s="1"/>
      <c r="B34" s="30">
        <v>9.0</v>
      </c>
      <c r="C34" s="50"/>
      <c r="D34" s="32"/>
      <c r="E34" s="32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48"/>
      <c r="AK34" s="36">
        <f t="shared" si="12"/>
        <v>0</v>
      </c>
      <c r="AL34" s="36">
        <f t="shared" si="13"/>
        <v>0</v>
      </c>
      <c r="AM34" s="37">
        <f t="shared" si="14"/>
        <v>0</v>
      </c>
      <c r="AN34" s="38">
        <f t="shared" si="15"/>
        <v>0</v>
      </c>
      <c r="AO34" s="37">
        <f t="shared" si="16"/>
        <v>0</v>
      </c>
      <c r="AP34" s="37">
        <f t="shared" si="17"/>
        <v>0</v>
      </c>
      <c r="AQ34" s="37">
        <f t="shared" si="18"/>
        <v>0</v>
      </c>
      <c r="AR34" s="37">
        <f t="shared" si="19"/>
        <v>0</v>
      </c>
      <c r="AS34" s="39">
        <f t="shared" si="20"/>
        <v>0</v>
      </c>
      <c r="AT34" s="39">
        <f t="shared" si="21"/>
        <v>0</v>
      </c>
      <c r="AU34" s="40">
        <f t="shared" si="22"/>
        <v>0</v>
      </c>
    </row>
    <row r="35" ht="10.5" customHeight="1">
      <c r="A35" s="1"/>
      <c r="B35" s="30">
        <v>9.0</v>
      </c>
      <c r="C35" s="51"/>
      <c r="D35" s="32"/>
      <c r="E35" s="32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48"/>
      <c r="AK35" s="36">
        <f t="shared" si="12"/>
        <v>0</v>
      </c>
      <c r="AL35" s="36">
        <f t="shared" si="13"/>
        <v>0</v>
      </c>
      <c r="AM35" s="37">
        <f t="shared" si="14"/>
        <v>0</v>
      </c>
      <c r="AN35" s="38">
        <f t="shared" si="15"/>
        <v>0</v>
      </c>
      <c r="AO35" s="37">
        <f t="shared" si="16"/>
        <v>0</v>
      </c>
      <c r="AP35" s="37">
        <f t="shared" si="17"/>
        <v>0</v>
      </c>
      <c r="AQ35" s="37">
        <f t="shared" si="18"/>
        <v>0</v>
      </c>
      <c r="AR35" s="37">
        <f t="shared" si="19"/>
        <v>0</v>
      </c>
      <c r="AS35" s="39">
        <f t="shared" si="20"/>
        <v>0</v>
      </c>
      <c r="AT35" s="39">
        <f t="shared" si="21"/>
        <v>0</v>
      </c>
      <c r="AU35" s="40">
        <f t="shared" si="22"/>
        <v>0</v>
      </c>
    </row>
    <row r="36" ht="10.5" customHeight="1">
      <c r="A36" s="1"/>
      <c r="B36" s="52"/>
      <c r="C36" s="51"/>
      <c r="D36" s="53"/>
      <c r="E36" s="54"/>
      <c r="F36" s="55"/>
      <c r="G36" s="56"/>
      <c r="H36" s="56"/>
      <c r="I36" s="56"/>
      <c r="J36" s="56"/>
      <c r="K36" s="56"/>
      <c r="L36" s="56"/>
      <c r="M36" s="56"/>
      <c r="N36" s="56"/>
      <c r="O36" s="57"/>
      <c r="P36" s="57"/>
      <c r="Q36" s="58"/>
      <c r="R36" s="59"/>
      <c r="S36" s="58"/>
      <c r="T36" s="59"/>
      <c r="U36" s="57"/>
      <c r="V36" s="57"/>
      <c r="W36" s="57"/>
      <c r="X36" s="58"/>
      <c r="Y36" s="59"/>
      <c r="Z36" s="58"/>
      <c r="AA36" s="60"/>
      <c r="AB36" s="60"/>
      <c r="AC36" s="60"/>
      <c r="AD36" s="60"/>
      <c r="AE36" s="60"/>
      <c r="AF36" s="60"/>
      <c r="AG36" s="60"/>
      <c r="AH36" s="59"/>
      <c r="AI36" s="57"/>
      <c r="AJ36" s="57"/>
      <c r="AK36" s="61"/>
      <c r="AL36" s="61"/>
      <c r="AM36" s="61"/>
      <c r="AN36" s="62"/>
      <c r="AO36" s="61"/>
      <c r="AP36" s="61"/>
      <c r="AQ36" s="61"/>
      <c r="AR36" s="61"/>
      <c r="AS36" s="63"/>
      <c r="AT36" s="64"/>
      <c r="AU36" s="65"/>
    </row>
    <row r="37" ht="10.5" customHeight="1">
      <c r="A37" s="1"/>
      <c r="B37" s="66"/>
      <c r="C37" s="9"/>
      <c r="D37" s="67"/>
      <c r="E37" s="67"/>
      <c r="F37" s="59"/>
      <c r="G37" s="57"/>
      <c r="H37" s="57"/>
      <c r="I37" s="57"/>
      <c r="J37" s="58"/>
      <c r="K37" s="59"/>
      <c r="L37" s="58"/>
      <c r="M37" s="59"/>
      <c r="N37" s="57"/>
      <c r="O37" s="57"/>
      <c r="P37" s="57"/>
      <c r="Q37" s="58"/>
      <c r="R37" s="59"/>
      <c r="S37" s="58"/>
      <c r="T37" s="59"/>
      <c r="U37" s="57"/>
      <c r="V37" s="57"/>
      <c r="W37" s="57"/>
      <c r="X37" s="58"/>
      <c r="Y37" s="59"/>
      <c r="Z37" s="58"/>
      <c r="AA37" s="60"/>
      <c r="AB37" s="60"/>
      <c r="AC37" s="60"/>
      <c r="AD37" s="60"/>
      <c r="AE37" s="60"/>
      <c r="AF37" s="60"/>
      <c r="AG37" s="60"/>
      <c r="AH37" s="59"/>
      <c r="AI37" s="57"/>
      <c r="AJ37" s="57"/>
      <c r="AK37" s="68">
        <f>COUNTIF(F37:AJ37,"X")+COUNTIF(F37:AJ37,"H")*COUNTIF(F37:AJ37,"İZ")</f>
        <v>0</v>
      </c>
      <c r="AL37" s="68">
        <f>COUNTIF(F37:AJ37,"HT")</f>
        <v>0</v>
      </c>
      <c r="AM37" s="68">
        <f>COUNTIF(E37:AI37,"Tİ")</f>
        <v>0</v>
      </c>
      <c r="AN37" s="69">
        <f>COUNTIF(F37:AJ37,"B")</f>
        <v>0</v>
      </c>
      <c r="AO37" s="68">
        <f>COUNTIF(F37:AJ37,"Yİ")</f>
        <v>0</v>
      </c>
      <c r="AP37" s="68">
        <f>COUNTIF(G37:AK37,"İZ")</f>
        <v>0</v>
      </c>
      <c r="AQ37" s="68">
        <f>COUNTIF(H37:AL37,"G")</f>
        <v>0</v>
      </c>
      <c r="AR37" s="68">
        <f>COUNTIF(F37:AJ37,"ÜCS")</f>
        <v>0</v>
      </c>
      <c r="AS37" s="70">
        <f>COUNTIF(F37:AJ37,"D")</f>
        <v>0</v>
      </c>
      <c r="AT37" s="64">
        <f>COUNTIF(F37:AR37,"H")+COUNTIF(F37:AR37,"RP")</f>
        <v>0</v>
      </c>
      <c r="AU37" s="65">
        <f>SUM(AK37:AQ37)</f>
        <v>0</v>
      </c>
    </row>
    <row r="38" ht="10.5" customHeight="1">
      <c r="A38" s="1"/>
      <c r="B38" s="66"/>
      <c r="C38" s="9"/>
      <c r="D38" s="9"/>
      <c r="E38" s="9"/>
      <c r="F38" s="71" t="s">
        <v>6</v>
      </c>
      <c r="G38" s="20"/>
      <c r="H38" s="20"/>
      <c r="I38" s="20"/>
      <c r="J38" s="18"/>
      <c r="K38" s="72" t="s">
        <v>22</v>
      </c>
      <c r="L38" s="18"/>
      <c r="M38" s="71" t="s">
        <v>29</v>
      </c>
      <c r="N38" s="20"/>
      <c r="O38" s="20"/>
      <c r="P38" s="20"/>
      <c r="Q38" s="18"/>
      <c r="R38" s="72" t="s">
        <v>30</v>
      </c>
      <c r="S38" s="18"/>
      <c r="T38" s="71" t="s">
        <v>11</v>
      </c>
      <c r="U38" s="20"/>
      <c r="V38" s="20"/>
      <c r="W38" s="20"/>
      <c r="X38" s="18"/>
      <c r="Y38" s="72" t="s">
        <v>31</v>
      </c>
      <c r="Z38" s="18"/>
      <c r="AA38" s="9"/>
      <c r="AB38" s="9"/>
      <c r="AC38" s="9"/>
      <c r="AD38" s="9"/>
      <c r="AE38" s="9"/>
      <c r="AF38" s="9"/>
      <c r="AG38" s="9"/>
      <c r="AH38" s="73" t="s">
        <v>32</v>
      </c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18"/>
      <c r="AT38" s="74"/>
      <c r="AU38" s="1"/>
    </row>
    <row r="39" ht="10.5" customHeight="1">
      <c r="A39" s="1"/>
      <c r="B39" s="66"/>
      <c r="C39" s="9"/>
      <c r="D39" s="9"/>
      <c r="E39" s="9"/>
      <c r="F39" s="71" t="s">
        <v>33</v>
      </c>
      <c r="G39" s="20"/>
      <c r="H39" s="20"/>
      <c r="I39" s="20"/>
      <c r="J39" s="18"/>
      <c r="K39" s="72" t="s">
        <v>23</v>
      </c>
      <c r="L39" s="18"/>
      <c r="M39" s="75" t="s">
        <v>34</v>
      </c>
      <c r="N39" s="20"/>
      <c r="O39" s="20"/>
      <c r="P39" s="20"/>
      <c r="Q39" s="18"/>
      <c r="R39" s="72" t="s">
        <v>35</v>
      </c>
      <c r="S39" s="18"/>
      <c r="T39" s="71" t="s">
        <v>15</v>
      </c>
      <c r="U39" s="20"/>
      <c r="V39" s="20"/>
      <c r="W39" s="20"/>
      <c r="X39" s="18"/>
      <c r="Y39" s="72" t="s">
        <v>36</v>
      </c>
      <c r="Z39" s="18"/>
      <c r="AA39" s="9"/>
      <c r="AB39" s="9"/>
      <c r="AC39" s="9"/>
      <c r="AD39" s="9"/>
      <c r="AE39" s="9"/>
      <c r="AF39" s="9"/>
      <c r="AG39" s="9"/>
      <c r="AH39" s="76" t="s">
        <v>37</v>
      </c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8"/>
      <c r="AT39" s="74"/>
      <c r="AU39" s="1"/>
    </row>
    <row r="40" ht="10.5" customHeight="1">
      <c r="A40" s="1"/>
      <c r="B40" s="66"/>
      <c r="C40" s="9"/>
      <c r="D40" s="9"/>
      <c r="E40" s="9"/>
      <c r="F40" s="71" t="s">
        <v>14</v>
      </c>
      <c r="G40" s="20"/>
      <c r="H40" s="20"/>
      <c r="I40" s="20"/>
      <c r="J40" s="18"/>
      <c r="K40" s="72" t="s">
        <v>38</v>
      </c>
      <c r="L40" s="18"/>
      <c r="M40" s="71" t="s">
        <v>39</v>
      </c>
      <c r="N40" s="20"/>
      <c r="O40" s="20"/>
      <c r="P40" s="20"/>
      <c r="Q40" s="18"/>
      <c r="R40" s="72" t="s">
        <v>40</v>
      </c>
      <c r="S40" s="18"/>
      <c r="T40" s="71" t="s">
        <v>12</v>
      </c>
      <c r="U40" s="20"/>
      <c r="V40" s="20"/>
      <c r="W40" s="20"/>
      <c r="X40" s="18"/>
      <c r="Y40" s="72" t="s">
        <v>41</v>
      </c>
      <c r="Z40" s="18"/>
      <c r="AA40" s="9"/>
      <c r="AB40" s="9"/>
      <c r="AC40" s="9"/>
      <c r="AD40" s="9"/>
      <c r="AE40" s="9"/>
      <c r="AF40" s="9"/>
      <c r="AG40" s="9"/>
      <c r="AH40" s="79"/>
      <c r="AS40" s="80"/>
      <c r="AT40" s="74"/>
      <c r="AU40" s="1"/>
    </row>
    <row r="41" ht="10.5" customHeight="1">
      <c r="A41" s="1"/>
      <c r="B41" s="66"/>
      <c r="C41" s="67"/>
      <c r="D41" s="9"/>
      <c r="E41" s="9"/>
      <c r="F41" s="81"/>
      <c r="G41" s="81"/>
      <c r="H41" s="81"/>
      <c r="I41" s="81"/>
      <c r="J41" s="81"/>
      <c r="K41" s="82"/>
      <c r="L41" s="82"/>
      <c r="M41" s="71" t="s">
        <v>8</v>
      </c>
      <c r="N41" s="20"/>
      <c r="O41" s="20"/>
      <c r="P41" s="20"/>
      <c r="Q41" s="18"/>
      <c r="R41" s="72" t="s">
        <v>42</v>
      </c>
      <c r="S41" s="18"/>
      <c r="T41" s="81"/>
      <c r="U41" s="81"/>
      <c r="V41" s="81"/>
      <c r="W41" s="81"/>
      <c r="X41" s="81"/>
      <c r="Y41" s="82"/>
      <c r="Z41" s="82"/>
      <c r="AA41" s="9"/>
      <c r="AB41" s="9"/>
      <c r="AC41" s="9"/>
      <c r="AD41" s="9"/>
      <c r="AE41" s="9"/>
      <c r="AF41" s="9"/>
      <c r="AG41" s="9"/>
      <c r="AH41" s="79"/>
      <c r="AS41" s="80"/>
      <c r="AT41" s="74"/>
      <c r="AU41" s="1"/>
    </row>
    <row r="42" ht="10.5" customHeight="1">
      <c r="A42" s="1"/>
      <c r="B42" s="66"/>
      <c r="C42" s="9"/>
      <c r="D42" s="9"/>
      <c r="E42" s="9"/>
      <c r="F42" s="83" t="s">
        <v>43</v>
      </c>
      <c r="G42" s="84"/>
      <c r="H42" s="84"/>
      <c r="I42" s="84"/>
      <c r="J42" s="84"/>
      <c r="K42" s="85"/>
      <c r="L42" s="85"/>
      <c r="M42" s="84"/>
      <c r="N42" s="84"/>
      <c r="O42" s="84"/>
      <c r="P42" s="84"/>
      <c r="Q42" s="84"/>
      <c r="R42" s="85"/>
      <c r="S42" s="85"/>
      <c r="T42" s="84"/>
      <c r="U42" s="84"/>
      <c r="V42" s="84"/>
      <c r="W42" s="84"/>
      <c r="X42" s="84"/>
      <c r="Y42" s="85"/>
      <c r="Z42" s="85"/>
      <c r="AA42" s="9"/>
      <c r="AB42" s="9"/>
      <c r="AC42" s="9"/>
      <c r="AD42" s="9"/>
      <c r="AE42" s="9"/>
      <c r="AF42" s="9"/>
      <c r="AG42" s="9"/>
      <c r="AH42" s="86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8"/>
      <c r="AT42" s="74"/>
      <c r="AU42" s="1"/>
    </row>
    <row r="43" ht="10.5" customHeight="1">
      <c r="A43" s="1"/>
      <c r="B43" s="66"/>
      <c r="C43" s="1"/>
      <c r="D43" s="9"/>
      <c r="E43" s="9"/>
      <c r="F43" s="83" t="s">
        <v>44</v>
      </c>
      <c r="G43" s="84"/>
      <c r="H43" s="84"/>
      <c r="I43" s="84"/>
      <c r="J43" s="84"/>
      <c r="K43" s="85"/>
      <c r="L43" s="85"/>
      <c r="M43" s="84"/>
      <c r="N43" s="84"/>
      <c r="O43" s="84"/>
      <c r="P43" s="84"/>
      <c r="Q43" s="84"/>
      <c r="R43" s="85"/>
      <c r="S43" s="85"/>
      <c r="T43" s="84"/>
      <c r="U43" s="84"/>
      <c r="V43" s="84"/>
      <c r="W43" s="84"/>
      <c r="X43" s="84"/>
      <c r="Y43" s="85"/>
      <c r="Z43" s="85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10"/>
      <c r="AO43" s="9"/>
      <c r="AP43" s="9"/>
      <c r="AQ43" s="9"/>
      <c r="AR43" s="9"/>
      <c r="AS43" s="9"/>
      <c r="AT43" s="74"/>
      <c r="AU43" s="1"/>
    </row>
    <row r="44" ht="10.5" customHeight="1">
      <c r="A44" s="1"/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/>
      <c r="AP44" s="90"/>
      <c r="AQ44" s="90"/>
      <c r="AR44" s="90"/>
      <c r="AS44" s="90"/>
      <c r="AT44" s="92"/>
      <c r="AU44" s="1"/>
    </row>
    <row r="45" ht="10.5" customHeight="1">
      <c r="A45" s="1"/>
      <c r="B45" s="8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0"/>
      <c r="AO45" s="9"/>
      <c r="AP45" s="9"/>
      <c r="AQ45" s="9"/>
      <c r="AR45" s="9"/>
      <c r="AS45" s="9"/>
      <c r="AT45" s="1"/>
      <c r="AU45" s="1"/>
    </row>
    <row r="46" ht="10.5" customHeight="1">
      <c r="A46" s="1"/>
      <c r="B46" s="8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10"/>
      <c r="AO46" s="9"/>
      <c r="AP46" s="9"/>
      <c r="AQ46" s="9"/>
      <c r="AR46" s="9"/>
      <c r="AS46" s="9"/>
      <c r="AT46" s="1"/>
      <c r="AU46" s="1"/>
    </row>
    <row r="47" ht="10.5" customHeight="1">
      <c r="A47" s="1"/>
      <c r="B47" s="8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10"/>
      <c r="AO47" s="9"/>
      <c r="AP47" s="9"/>
      <c r="AQ47" s="9"/>
      <c r="AR47" s="9"/>
      <c r="AS47" s="9"/>
      <c r="AT47" s="1"/>
      <c r="AU47" s="1"/>
    </row>
    <row r="48" ht="10.5" customHeight="1">
      <c r="A48" s="1"/>
      <c r="B48" s="8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0"/>
      <c r="AO48" s="9"/>
      <c r="AP48" s="9"/>
      <c r="AQ48" s="9"/>
      <c r="AR48" s="9"/>
      <c r="AS48" s="9"/>
      <c r="AT48" s="1"/>
      <c r="AU48" s="1"/>
    </row>
    <row r="49" ht="10.5" customHeight="1">
      <c r="A49" s="1"/>
      <c r="B49" s="8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10"/>
      <c r="AO49" s="9"/>
      <c r="AP49" s="9"/>
      <c r="AQ49" s="9"/>
      <c r="AR49" s="9"/>
      <c r="AS49" s="9"/>
      <c r="AT49" s="1"/>
      <c r="AU49" s="1"/>
    </row>
    <row r="50" ht="10.5" customHeight="1">
      <c r="A50" s="1"/>
      <c r="B50" s="8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10"/>
      <c r="AO50" s="9"/>
      <c r="AP50" s="9"/>
      <c r="AQ50" s="9"/>
      <c r="AR50" s="9"/>
      <c r="AS50" s="9"/>
      <c r="AT50" s="1"/>
      <c r="AU50" s="1"/>
    </row>
    <row r="51" ht="10.5" customHeight="1">
      <c r="A51" s="1"/>
      <c r="B51" s="8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0"/>
      <c r="AO51" s="9"/>
      <c r="AP51" s="9"/>
      <c r="AQ51" s="9"/>
      <c r="AR51" s="9"/>
      <c r="AS51" s="9"/>
      <c r="AT51" s="1"/>
      <c r="AU51" s="1"/>
    </row>
    <row r="52" ht="10.5" customHeight="1">
      <c r="A52" s="1"/>
      <c r="B52" s="8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10"/>
      <c r="AO52" s="9"/>
      <c r="AP52" s="9"/>
      <c r="AQ52" s="9"/>
      <c r="AR52" s="9"/>
      <c r="AS52" s="9"/>
      <c r="AT52" s="1"/>
      <c r="AU52" s="1"/>
    </row>
    <row r="53" ht="10.5" customHeight="1">
      <c r="A53" s="1"/>
      <c r="B53" s="8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10"/>
      <c r="AO53" s="9"/>
      <c r="AP53" s="9"/>
      <c r="AQ53" s="9"/>
      <c r="AR53" s="9"/>
      <c r="AS53" s="9"/>
      <c r="AT53" s="1"/>
      <c r="AU53" s="1"/>
    </row>
    <row r="54" ht="10.5" customHeight="1">
      <c r="A54" s="1"/>
      <c r="B54" s="8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10"/>
      <c r="AO54" s="9"/>
      <c r="AP54" s="9"/>
      <c r="AQ54" s="9"/>
      <c r="AR54" s="9"/>
      <c r="AS54" s="9"/>
      <c r="AT54" s="1"/>
      <c r="AU54" s="1"/>
    </row>
    <row r="55" ht="10.5" customHeight="1">
      <c r="A55" s="1"/>
      <c r="B55" s="8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10"/>
      <c r="AO55" s="9"/>
      <c r="AP55" s="9"/>
      <c r="AQ55" s="9"/>
      <c r="AR55" s="9"/>
      <c r="AS55" s="9"/>
      <c r="AT55" s="1"/>
      <c r="AU55" s="1"/>
    </row>
    <row r="56" ht="10.5" customHeight="1">
      <c r="A56" s="1"/>
      <c r="B56" s="8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10"/>
      <c r="AO56" s="9"/>
      <c r="AP56" s="9"/>
      <c r="AQ56" s="9"/>
      <c r="AR56" s="9"/>
      <c r="AS56" s="9"/>
      <c r="AT56" s="1"/>
      <c r="AU56" s="1"/>
    </row>
    <row r="57" ht="10.5" customHeight="1">
      <c r="A57" s="1"/>
      <c r="B57" s="8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10"/>
      <c r="AO57" s="9"/>
      <c r="AP57" s="9"/>
      <c r="AQ57" s="9"/>
      <c r="AR57" s="9"/>
      <c r="AS57" s="9"/>
      <c r="AT57" s="1"/>
      <c r="AU57" s="1"/>
    </row>
    <row r="58" ht="10.5" customHeight="1">
      <c r="A58" s="1"/>
      <c r="B58" s="8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10"/>
      <c r="AO58" s="9"/>
      <c r="AP58" s="9"/>
      <c r="AQ58" s="9"/>
      <c r="AR58" s="9"/>
      <c r="AS58" s="9"/>
      <c r="AT58" s="1"/>
      <c r="AU58" s="1"/>
    </row>
    <row r="59" ht="10.5" customHeight="1">
      <c r="A59" s="1"/>
      <c r="B59" s="8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10"/>
      <c r="AO59" s="9"/>
      <c r="AP59" s="9"/>
      <c r="AQ59" s="9"/>
      <c r="AR59" s="9"/>
      <c r="AS59" s="9"/>
      <c r="AT59" s="1"/>
      <c r="AU59" s="1"/>
    </row>
    <row r="60" ht="10.5" customHeight="1">
      <c r="A60" s="1"/>
      <c r="B60" s="8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10"/>
      <c r="AO60" s="9"/>
      <c r="AP60" s="9"/>
      <c r="AQ60" s="9"/>
      <c r="AR60" s="9"/>
      <c r="AS60" s="9"/>
      <c r="AT60" s="1"/>
      <c r="AU60" s="1"/>
    </row>
    <row r="61" ht="10.5" customHeight="1">
      <c r="A61" s="1"/>
      <c r="B61" s="8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10"/>
      <c r="AO61" s="9"/>
      <c r="AP61" s="9"/>
      <c r="AQ61" s="9"/>
      <c r="AR61" s="9"/>
      <c r="AS61" s="9"/>
      <c r="AT61" s="1"/>
      <c r="AU61" s="1"/>
    </row>
    <row r="62" ht="10.5" customHeight="1">
      <c r="A62" s="1"/>
      <c r="B62" s="8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10"/>
      <c r="AO62" s="9"/>
      <c r="AP62" s="9"/>
      <c r="AQ62" s="9"/>
      <c r="AR62" s="9"/>
      <c r="AS62" s="9"/>
      <c r="AT62" s="1"/>
      <c r="AU62" s="1"/>
    </row>
    <row r="63" ht="10.5" customHeight="1">
      <c r="A63" s="1"/>
      <c r="B63" s="8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10"/>
      <c r="AO63" s="9"/>
      <c r="AP63" s="9"/>
      <c r="AQ63" s="9"/>
      <c r="AR63" s="9"/>
      <c r="AS63" s="9"/>
      <c r="AT63" s="1"/>
      <c r="AU63" s="1"/>
    </row>
    <row r="64" ht="10.5" customHeight="1">
      <c r="A64" s="1"/>
      <c r="B64" s="8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10"/>
      <c r="AO64" s="9"/>
      <c r="AP64" s="9"/>
      <c r="AQ64" s="9"/>
      <c r="AR64" s="9"/>
      <c r="AS64" s="9"/>
      <c r="AT64" s="1"/>
      <c r="AU64" s="1"/>
    </row>
    <row r="65" ht="10.5" customHeight="1">
      <c r="A65" s="1"/>
      <c r="B65" s="8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10"/>
      <c r="AO65" s="9"/>
      <c r="AP65" s="9"/>
      <c r="AQ65" s="9"/>
      <c r="AR65" s="9"/>
      <c r="AS65" s="9"/>
      <c r="AT65" s="1"/>
      <c r="AU65" s="1"/>
    </row>
    <row r="66" ht="10.5" customHeight="1">
      <c r="A66" s="1"/>
      <c r="B66" s="8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10"/>
      <c r="AO66" s="9"/>
      <c r="AP66" s="9"/>
      <c r="AQ66" s="9"/>
      <c r="AR66" s="9"/>
      <c r="AS66" s="9"/>
      <c r="AT66" s="1"/>
      <c r="AU66" s="1"/>
    </row>
    <row r="67" ht="10.5" customHeight="1">
      <c r="A67" s="1"/>
      <c r="B67" s="8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10"/>
      <c r="AO67" s="9"/>
      <c r="AP67" s="9"/>
      <c r="AQ67" s="9"/>
      <c r="AR67" s="9"/>
      <c r="AS67" s="9"/>
      <c r="AT67" s="1"/>
      <c r="AU67" s="1"/>
    </row>
    <row r="68" ht="10.5" customHeight="1">
      <c r="A68" s="1"/>
      <c r="B68" s="8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10"/>
      <c r="AO68" s="9"/>
      <c r="AP68" s="9"/>
      <c r="AQ68" s="9"/>
      <c r="AR68" s="9"/>
      <c r="AS68" s="9"/>
      <c r="AT68" s="1"/>
      <c r="AU68" s="1"/>
    </row>
    <row r="69" ht="10.5" customHeight="1">
      <c r="A69" s="1"/>
      <c r="B69" s="8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10"/>
      <c r="AO69" s="9"/>
      <c r="AP69" s="9"/>
      <c r="AQ69" s="9"/>
      <c r="AR69" s="9"/>
      <c r="AS69" s="9"/>
      <c r="AT69" s="1"/>
      <c r="AU69" s="1"/>
    </row>
    <row r="70" ht="10.5" customHeight="1">
      <c r="A70" s="1"/>
      <c r="B70" s="8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10"/>
      <c r="AO70" s="9"/>
      <c r="AP70" s="9"/>
      <c r="AQ70" s="9"/>
      <c r="AR70" s="9"/>
      <c r="AS70" s="9"/>
      <c r="AT70" s="1"/>
      <c r="AU70" s="1"/>
    </row>
    <row r="71" ht="10.5" customHeight="1">
      <c r="A71" s="1"/>
      <c r="B71" s="8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10"/>
      <c r="AO71" s="9"/>
      <c r="AP71" s="9"/>
      <c r="AQ71" s="9"/>
      <c r="AR71" s="9"/>
      <c r="AS71" s="9"/>
      <c r="AT71" s="1"/>
      <c r="AU71" s="1"/>
    </row>
    <row r="72" ht="10.5" customHeight="1">
      <c r="A72" s="1"/>
      <c r="B72" s="8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10"/>
      <c r="AO72" s="9"/>
      <c r="AP72" s="9"/>
      <c r="AQ72" s="9"/>
      <c r="AR72" s="9"/>
      <c r="AS72" s="9"/>
      <c r="AT72" s="1"/>
      <c r="AU72" s="1"/>
    </row>
    <row r="73" ht="10.5" customHeight="1">
      <c r="A73" s="1"/>
      <c r="B73" s="8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10"/>
      <c r="AO73" s="9"/>
      <c r="AP73" s="9"/>
      <c r="AQ73" s="9"/>
      <c r="AR73" s="9"/>
      <c r="AS73" s="9"/>
      <c r="AT73" s="1"/>
      <c r="AU73" s="1"/>
    </row>
    <row r="74" ht="10.5" customHeight="1">
      <c r="A74" s="1"/>
      <c r="B74" s="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10"/>
      <c r="AO74" s="9"/>
      <c r="AP74" s="9"/>
      <c r="AQ74" s="9"/>
      <c r="AR74" s="9"/>
      <c r="AS74" s="9"/>
      <c r="AT74" s="1"/>
      <c r="AU74" s="1"/>
    </row>
    <row r="75" ht="10.5" customHeight="1">
      <c r="A75" s="1"/>
      <c r="B75" s="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10"/>
      <c r="AO75" s="9"/>
      <c r="AP75" s="9"/>
      <c r="AQ75" s="9"/>
      <c r="AR75" s="9"/>
      <c r="AS75" s="9"/>
      <c r="AT75" s="1"/>
      <c r="AU75" s="1"/>
    </row>
    <row r="76" ht="10.5" customHeight="1">
      <c r="A76" s="1"/>
      <c r="B76" s="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10"/>
      <c r="AO76" s="9"/>
      <c r="AP76" s="9"/>
      <c r="AQ76" s="9"/>
      <c r="AR76" s="9"/>
      <c r="AS76" s="9"/>
      <c r="AT76" s="1"/>
      <c r="AU76" s="1"/>
    </row>
    <row r="77" ht="10.5" customHeight="1">
      <c r="A77" s="1"/>
      <c r="B77" s="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10"/>
      <c r="AO77" s="9"/>
      <c r="AP77" s="9"/>
      <c r="AQ77" s="9"/>
      <c r="AR77" s="9"/>
      <c r="AS77" s="9"/>
      <c r="AT77" s="1"/>
      <c r="AU77" s="1"/>
    </row>
    <row r="78" ht="10.5" customHeight="1">
      <c r="A78" s="1"/>
      <c r="B78" s="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10"/>
      <c r="AO78" s="9"/>
      <c r="AP78" s="9"/>
      <c r="AQ78" s="9"/>
      <c r="AR78" s="9"/>
      <c r="AS78" s="9"/>
      <c r="AT78" s="1"/>
      <c r="AU78" s="1"/>
    </row>
    <row r="79" ht="10.5" customHeight="1">
      <c r="A79" s="1"/>
      <c r="B79" s="2"/>
      <c r="C79" s="1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10"/>
      <c r="AO79" s="9"/>
      <c r="AP79" s="9"/>
      <c r="AQ79" s="9"/>
      <c r="AR79" s="9"/>
      <c r="AS79" s="9"/>
      <c r="AT79" s="1"/>
      <c r="AU79" s="1"/>
    </row>
    <row r="80" ht="10.5" customHeight="1">
      <c r="A80" s="1"/>
      <c r="B80" s="2"/>
      <c r="C80" s="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10"/>
      <c r="AO80" s="9"/>
      <c r="AP80" s="9"/>
      <c r="AQ80" s="9"/>
      <c r="AR80" s="9"/>
      <c r="AS80" s="9"/>
      <c r="AT80" s="1"/>
      <c r="AU80" s="1"/>
    </row>
    <row r="81" ht="10.5" customHeight="1">
      <c r="A81" s="1"/>
      <c r="B81" s="2"/>
      <c r="C81" s="1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10"/>
      <c r="AO81" s="9"/>
      <c r="AP81" s="9"/>
      <c r="AQ81" s="9"/>
      <c r="AR81" s="9"/>
      <c r="AS81" s="9"/>
      <c r="AT81" s="1"/>
      <c r="AU81" s="1"/>
    </row>
    <row r="82" ht="10.5" customHeight="1">
      <c r="A82" s="1"/>
      <c r="B82" s="2"/>
      <c r="C82" s="1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10"/>
      <c r="AO82" s="9"/>
      <c r="AP82" s="9"/>
      <c r="AQ82" s="9"/>
      <c r="AR82" s="9"/>
      <c r="AS82" s="9"/>
      <c r="AT82" s="1"/>
      <c r="AU82" s="1"/>
    </row>
    <row r="83" ht="10.5" customHeight="1">
      <c r="A83" s="1"/>
      <c r="B83" s="2"/>
      <c r="C83" s="1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10"/>
      <c r="AO83" s="9"/>
      <c r="AP83" s="9"/>
      <c r="AQ83" s="9"/>
      <c r="AR83" s="9"/>
      <c r="AS83" s="9"/>
      <c r="AT83" s="1"/>
      <c r="AU83" s="1"/>
    </row>
    <row r="84" ht="10.5" customHeight="1">
      <c r="A84" s="1"/>
      <c r="B84" s="2"/>
      <c r="C84" s="1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10"/>
      <c r="AO84" s="9"/>
      <c r="AP84" s="9"/>
      <c r="AQ84" s="9"/>
      <c r="AR84" s="9"/>
      <c r="AS84" s="9"/>
      <c r="AT84" s="1"/>
      <c r="AU84" s="1"/>
    </row>
    <row r="85" ht="10.5" customHeight="1">
      <c r="A85" s="1"/>
      <c r="B85" s="2"/>
      <c r="C85" s="1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10"/>
      <c r="AO85" s="9"/>
      <c r="AP85" s="9"/>
      <c r="AQ85" s="9"/>
      <c r="AR85" s="9"/>
      <c r="AS85" s="9"/>
      <c r="AT85" s="1"/>
      <c r="AU85" s="1"/>
    </row>
    <row r="86" ht="10.5" customHeight="1">
      <c r="A86" s="1"/>
      <c r="B86" s="2"/>
      <c r="C86" s="1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10"/>
      <c r="AO86" s="9"/>
      <c r="AP86" s="9"/>
      <c r="AQ86" s="9"/>
      <c r="AR86" s="9"/>
      <c r="AS86" s="9"/>
      <c r="AT86" s="1"/>
      <c r="AU86" s="1"/>
    </row>
    <row r="87" ht="10.5" customHeight="1">
      <c r="A87" s="1"/>
      <c r="B87" s="2"/>
      <c r="C87" s="1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10"/>
      <c r="AO87" s="9"/>
      <c r="AP87" s="9"/>
      <c r="AQ87" s="9"/>
      <c r="AR87" s="9"/>
      <c r="AS87" s="9"/>
      <c r="AT87" s="1"/>
      <c r="AU87" s="1"/>
    </row>
    <row r="88" ht="10.5" customHeight="1">
      <c r="A88" s="1"/>
      <c r="B88" s="2"/>
      <c r="C88" s="1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10"/>
      <c r="AO88" s="9"/>
      <c r="AP88" s="9"/>
      <c r="AQ88" s="9"/>
      <c r="AR88" s="9"/>
      <c r="AS88" s="9"/>
      <c r="AT88" s="1"/>
      <c r="AU88" s="1"/>
    </row>
    <row r="89" ht="10.5" customHeight="1">
      <c r="A89" s="1"/>
      <c r="B89" s="2"/>
      <c r="C89" s="1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10"/>
      <c r="AO89" s="9"/>
      <c r="AP89" s="9"/>
      <c r="AQ89" s="9"/>
      <c r="AR89" s="9"/>
      <c r="AS89" s="9"/>
      <c r="AT89" s="1"/>
      <c r="AU89" s="1"/>
    </row>
    <row r="90" ht="10.5" customHeight="1">
      <c r="A90" s="1"/>
      <c r="B90" s="2"/>
      <c r="C90" s="1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10"/>
      <c r="AO90" s="9"/>
      <c r="AP90" s="9"/>
      <c r="AQ90" s="9"/>
      <c r="AR90" s="9"/>
      <c r="AS90" s="9"/>
      <c r="AT90" s="1"/>
      <c r="AU90" s="1"/>
    </row>
    <row r="91" ht="10.5" customHeight="1">
      <c r="A91" s="1"/>
      <c r="B91" s="2"/>
      <c r="C91" s="1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10"/>
      <c r="AO91" s="9"/>
      <c r="AP91" s="9"/>
      <c r="AQ91" s="9"/>
      <c r="AR91" s="9"/>
      <c r="AS91" s="9"/>
      <c r="AT91" s="1"/>
      <c r="AU91" s="1"/>
    </row>
    <row r="92" ht="10.5" customHeight="1">
      <c r="A92" s="1"/>
      <c r="B92" s="2"/>
      <c r="C92" s="1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10"/>
      <c r="AO92" s="9"/>
      <c r="AP92" s="9"/>
      <c r="AQ92" s="9"/>
      <c r="AR92" s="9"/>
      <c r="AS92" s="9"/>
      <c r="AT92" s="1"/>
      <c r="AU92" s="1"/>
    </row>
    <row r="93" ht="10.5" customHeight="1">
      <c r="A93" s="1"/>
      <c r="B93" s="2"/>
      <c r="C93" s="1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10"/>
      <c r="AO93" s="9"/>
      <c r="AP93" s="9"/>
      <c r="AQ93" s="9"/>
      <c r="AR93" s="9"/>
      <c r="AS93" s="9"/>
      <c r="AT93" s="1"/>
      <c r="AU93" s="1"/>
    </row>
    <row r="94" ht="10.5" customHeight="1">
      <c r="A94" s="1"/>
      <c r="B94" s="2"/>
      <c r="C94" s="1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10"/>
      <c r="AO94" s="9"/>
      <c r="AP94" s="9"/>
      <c r="AQ94" s="9"/>
      <c r="AR94" s="9"/>
      <c r="AS94" s="9"/>
      <c r="AT94" s="1"/>
      <c r="AU94" s="1"/>
    </row>
    <row r="95" ht="10.5" customHeight="1">
      <c r="A95" s="1"/>
      <c r="B95" s="2"/>
      <c r="C95" s="1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10"/>
      <c r="AO95" s="9"/>
      <c r="AP95" s="9"/>
      <c r="AQ95" s="9"/>
      <c r="AR95" s="9"/>
      <c r="AS95" s="9"/>
      <c r="AT95" s="1"/>
      <c r="AU95" s="1"/>
    </row>
    <row r="96" ht="10.5" customHeight="1">
      <c r="A96" s="1"/>
      <c r="B96" s="2"/>
      <c r="C96" s="1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10"/>
      <c r="AO96" s="9"/>
      <c r="AP96" s="9"/>
      <c r="AQ96" s="9"/>
      <c r="AR96" s="9"/>
      <c r="AS96" s="9"/>
      <c r="AT96" s="1"/>
      <c r="AU96" s="1"/>
    </row>
    <row r="97" ht="10.5" customHeight="1">
      <c r="A97" s="1"/>
      <c r="B97" s="2"/>
      <c r="C97" s="1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10"/>
      <c r="AO97" s="9"/>
      <c r="AP97" s="9"/>
      <c r="AQ97" s="9"/>
      <c r="AR97" s="9"/>
      <c r="AS97" s="9"/>
      <c r="AT97" s="1"/>
      <c r="AU97" s="1"/>
    </row>
    <row r="98" ht="10.5" customHeight="1">
      <c r="A98" s="1"/>
      <c r="B98" s="2"/>
      <c r="C98" s="1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10"/>
      <c r="AO98" s="9"/>
      <c r="AP98" s="9"/>
      <c r="AQ98" s="9"/>
      <c r="AR98" s="9"/>
      <c r="AS98" s="9"/>
      <c r="AT98" s="1"/>
      <c r="AU98" s="1"/>
    </row>
    <row r="99" ht="10.5" customHeight="1">
      <c r="A99" s="1"/>
      <c r="B99" s="2"/>
      <c r="C99" s="1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10"/>
      <c r="AO99" s="9"/>
      <c r="AP99" s="9"/>
      <c r="AQ99" s="9"/>
      <c r="AR99" s="9"/>
      <c r="AS99" s="9"/>
      <c r="AT99" s="1"/>
      <c r="AU99" s="1"/>
    </row>
    <row r="100" ht="10.5" customHeight="1">
      <c r="A100" s="1"/>
      <c r="B100" s="2"/>
      <c r="C100" s="1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10"/>
      <c r="AO100" s="9"/>
      <c r="AP100" s="9"/>
      <c r="AQ100" s="9"/>
      <c r="AR100" s="9"/>
      <c r="AS100" s="9"/>
      <c r="AT100" s="1"/>
      <c r="AU100" s="1"/>
    </row>
    <row r="101" ht="10.5" customHeight="1">
      <c r="A101" s="1"/>
      <c r="B101" s="2"/>
      <c r="C101" s="1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10"/>
      <c r="AO101" s="9"/>
      <c r="AP101" s="9"/>
      <c r="AQ101" s="9"/>
      <c r="AR101" s="9"/>
      <c r="AS101" s="9"/>
      <c r="AT101" s="1"/>
      <c r="AU101" s="1"/>
    </row>
    <row r="102" ht="10.5" customHeight="1">
      <c r="A102" s="1"/>
      <c r="B102" s="2"/>
      <c r="C102" s="1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10"/>
      <c r="AO102" s="9"/>
      <c r="AP102" s="9"/>
      <c r="AQ102" s="9"/>
      <c r="AR102" s="9"/>
      <c r="AS102" s="9"/>
      <c r="AT102" s="1"/>
      <c r="AU102" s="1"/>
    </row>
    <row r="103" ht="10.5" customHeight="1">
      <c r="A103" s="1"/>
      <c r="B103" s="2"/>
      <c r="C103" s="1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10"/>
      <c r="AO103" s="9"/>
      <c r="AP103" s="9"/>
      <c r="AQ103" s="9"/>
      <c r="AR103" s="9"/>
      <c r="AS103" s="9"/>
      <c r="AT103" s="1"/>
      <c r="AU103" s="1"/>
    </row>
    <row r="104" ht="10.5" customHeight="1">
      <c r="A104" s="1"/>
      <c r="B104" s="2"/>
      <c r="C104" s="1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10"/>
      <c r="AO104" s="9"/>
      <c r="AP104" s="9"/>
      <c r="AQ104" s="9"/>
      <c r="AR104" s="9"/>
      <c r="AS104" s="9"/>
      <c r="AT104" s="1"/>
      <c r="AU104" s="1"/>
    </row>
    <row r="105" ht="10.5" customHeight="1">
      <c r="A105" s="1"/>
      <c r="B105" s="2"/>
      <c r="C105" s="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10"/>
      <c r="AO105" s="9"/>
      <c r="AP105" s="9"/>
      <c r="AQ105" s="9"/>
      <c r="AR105" s="9"/>
      <c r="AS105" s="9"/>
      <c r="AT105" s="1"/>
      <c r="AU105" s="1"/>
    </row>
    <row r="106" ht="10.5" customHeight="1">
      <c r="A106" s="1"/>
      <c r="B106" s="2"/>
      <c r="C106" s="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10"/>
      <c r="AO106" s="9"/>
      <c r="AP106" s="9"/>
      <c r="AQ106" s="9"/>
      <c r="AR106" s="9"/>
      <c r="AS106" s="9"/>
      <c r="AT106" s="1"/>
      <c r="AU106" s="1"/>
    </row>
    <row r="107" ht="10.5" customHeight="1">
      <c r="A107" s="1"/>
      <c r="B107" s="2"/>
      <c r="C107" s="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10"/>
      <c r="AO107" s="9"/>
      <c r="AP107" s="9"/>
      <c r="AQ107" s="9"/>
      <c r="AR107" s="9"/>
      <c r="AS107" s="9"/>
      <c r="AT107" s="1"/>
      <c r="AU107" s="1"/>
    </row>
    <row r="108" ht="10.5" customHeight="1">
      <c r="A108" s="1"/>
      <c r="B108" s="2"/>
      <c r="C108" s="1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10"/>
      <c r="AO108" s="9"/>
      <c r="AP108" s="9"/>
      <c r="AQ108" s="9"/>
      <c r="AR108" s="9"/>
      <c r="AS108" s="9"/>
      <c r="AT108" s="1"/>
      <c r="AU108" s="1"/>
    </row>
    <row r="109" ht="10.5" customHeight="1">
      <c r="A109" s="1"/>
      <c r="B109" s="2"/>
      <c r="C109" s="1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10"/>
      <c r="AO109" s="9"/>
      <c r="AP109" s="9"/>
      <c r="AQ109" s="9"/>
      <c r="AR109" s="9"/>
      <c r="AS109" s="9"/>
      <c r="AT109" s="1"/>
      <c r="AU109" s="1"/>
    </row>
    <row r="110" ht="10.5" customHeight="1">
      <c r="A110" s="1"/>
      <c r="B110" s="2"/>
      <c r="C110" s="1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10"/>
      <c r="AO110" s="9"/>
      <c r="AP110" s="9"/>
      <c r="AQ110" s="9"/>
      <c r="AR110" s="9"/>
      <c r="AS110" s="9"/>
      <c r="AT110" s="1"/>
      <c r="AU110" s="1"/>
    </row>
    <row r="111" ht="10.5" customHeight="1">
      <c r="A111" s="1"/>
      <c r="B111" s="2"/>
      <c r="C111" s="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10"/>
      <c r="AO111" s="9"/>
      <c r="AP111" s="9"/>
      <c r="AQ111" s="9"/>
      <c r="AR111" s="9"/>
      <c r="AS111" s="9"/>
      <c r="AT111" s="1"/>
      <c r="AU111" s="1"/>
    </row>
    <row r="112" ht="10.5" customHeight="1">
      <c r="A112" s="1"/>
      <c r="B112" s="2"/>
      <c r="C112" s="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10"/>
      <c r="AO112" s="9"/>
      <c r="AP112" s="9"/>
      <c r="AQ112" s="9"/>
      <c r="AR112" s="9"/>
      <c r="AS112" s="9"/>
      <c r="AT112" s="1"/>
      <c r="AU112" s="1"/>
    </row>
    <row r="113" ht="10.5" customHeight="1">
      <c r="A113" s="1"/>
      <c r="B113" s="2"/>
      <c r="C113" s="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10"/>
      <c r="AO113" s="9"/>
      <c r="AP113" s="9"/>
      <c r="AQ113" s="9"/>
      <c r="AR113" s="9"/>
      <c r="AS113" s="9"/>
      <c r="AT113" s="1"/>
      <c r="AU113" s="1"/>
    </row>
    <row r="114" ht="10.5" customHeight="1">
      <c r="A114" s="1"/>
      <c r="B114" s="2"/>
      <c r="C114" s="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10"/>
      <c r="AO114" s="9"/>
      <c r="AP114" s="9"/>
      <c r="AQ114" s="9"/>
      <c r="AR114" s="9"/>
      <c r="AS114" s="9"/>
      <c r="AT114" s="1"/>
      <c r="AU114" s="1"/>
    </row>
    <row r="115" ht="10.5" customHeight="1">
      <c r="A115" s="1"/>
      <c r="B115" s="2"/>
      <c r="C115" s="1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10"/>
      <c r="AO115" s="9"/>
      <c r="AP115" s="9"/>
      <c r="AQ115" s="9"/>
      <c r="AR115" s="9"/>
      <c r="AS115" s="9"/>
      <c r="AT115" s="1"/>
      <c r="AU115" s="1"/>
    </row>
    <row r="116" ht="10.5" customHeight="1">
      <c r="A116" s="1"/>
      <c r="B116" s="2"/>
      <c r="C116" s="1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10"/>
      <c r="AO116" s="9"/>
      <c r="AP116" s="9"/>
      <c r="AQ116" s="9"/>
      <c r="AR116" s="9"/>
      <c r="AS116" s="9"/>
      <c r="AT116" s="1"/>
      <c r="AU116" s="1"/>
    </row>
    <row r="117" ht="10.5" customHeight="1">
      <c r="A117" s="1"/>
      <c r="B117" s="2"/>
      <c r="C117" s="1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10"/>
      <c r="AO117" s="9"/>
      <c r="AP117" s="9"/>
      <c r="AQ117" s="9"/>
      <c r="AR117" s="9"/>
      <c r="AS117" s="9"/>
      <c r="AT117" s="1"/>
      <c r="AU117" s="1"/>
    </row>
    <row r="118" ht="10.5" customHeight="1">
      <c r="A118" s="1"/>
      <c r="B118" s="2"/>
      <c r="C118" s="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10"/>
      <c r="AO118" s="9"/>
      <c r="AP118" s="9"/>
      <c r="AQ118" s="9"/>
      <c r="AR118" s="9"/>
      <c r="AS118" s="9"/>
      <c r="AT118" s="1"/>
      <c r="AU118" s="1"/>
    </row>
    <row r="119" ht="10.5" customHeight="1">
      <c r="A119" s="1"/>
      <c r="B119" s="2"/>
      <c r="C119" s="1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10"/>
      <c r="AO119" s="9"/>
      <c r="AP119" s="9"/>
      <c r="AQ119" s="9"/>
      <c r="AR119" s="9"/>
      <c r="AS119" s="9"/>
      <c r="AT119" s="1"/>
      <c r="AU119" s="1"/>
    </row>
    <row r="120" ht="10.5" customHeight="1">
      <c r="A120" s="1"/>
      <c r="B120" s="2"/>
      <c r="C120" s="1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10"/>
      <c r="AO120" s="9"/>
      <c r="AP120" s="9"/>
      <c r="AQ120" s="9"/>
      <c r="AR120" s="9"/>
      <c r="AS120" s="9"/>
      <c r="AT120" s="1"/>
      <c r="AU120" s="1"/>
    </row>
    <row r="121" ht="10.5" customHeight="1">
      <c r="A121" s="1"/>
      <c r="B121" s="2"/>
      <c r="C121" s="1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10"/>
      <c r="AO121" s="9"/>
      <c r="AP121" s="9"/>
      <c r="AQ121" s="9"/>
      <c r="AR121" s="9"/>
      <c r="AS121" s="9"/>
      <c r="AT121" s="1"/>
      <c r="AU121" s="1"/>
    </row>
    <row r="122" ht="10.5" customHeight="1">
      <c r="A122" s="1"/>
      <c r="B122" s="2"/>
      <c r="C122" s="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10"/>
      <c r="AO122" s="9"/>
      <c r="AP122" s="9"/>
      <c r="AQ122" s="9"/>
      <c r="AR122" s="9"/>
      <c r="AS122" s="9"/>
      <c r="AT122" s="1"/>
      <c r="AU122" s="1"/>
    </row>
    <row r="123" ht="10.5" customHeight="1">
      <c r="A123" s="1"/>
      <c r="B123" s="2"/>
      <c r="C123" s="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10"/>
      <c r="AO123" s="9"/>
      <c r="AP123" s="9"/>
      <c r="AQ123" s="9"/>
      <c r="AR123" s="9"/>
      <c r="AS123" s="9"/>
      <c r="AT123" s="1"/>
      <c r="AU123" s="1"/>
    </row>
    <row r="124" ht="10.5" customHeight="1">
      <c r="A124" s="1"/>
      <c r="B124" s="2"/>
      <c r="C124" s="1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10"/>
      <c r="AO124" s="9"/>
      <c r="AP124" s="9"/>
      <c r="AQ124" s="9"/>
      <c r="AR124" s="9"/>
      <c r="AS124" s="9"/>
      <c r="AT124" s="1"/>
      <c r="AU124" s="1"/>
    </row>
    <row r="125" ht="10.5" customHeight="1">
      <c r="A125" s="1"/>
      <c r="B125" s="2"/>
      <c r="C125" s="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10"/>
      <c r="AO125" s="9"/>
      <c r="AP125" s="9"/>
      <c r="AQ125" s="9"/>
      <c r="AR125" s="9"/>
      <c r="AS125" s="9"/>
      <c r="AT125" s="1"/>
      <c r="AU125" s="1"/>
    </row>
    <row r="126" ht="10.5" customHeight="1">
      <c r="A126" s="1"/>
      <c r="B126" s="2"/>
      <c r="C126" s="1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10"/>
      <c r="AO126" s="9"/>
      <c r="AP126" s="9"/>
      <c r="AQ126" s="9"/>
      <c r="AR126" s="9"/>
      <c r="AS126" s="9"/>
      <c r="AT126" s="1"/>
      <c r="AU126" s="1"/>
    </row>
    <row r="127" ht="10.5" customHeight="1">
      <c r="A127" s="1"/>
      <c r="B127" s="2"/>
      <c r="C127" s="1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10"/>
      <c r="AO127" s="9"/>
      <c r="AP127" s="9"/>
      <c r="AQ127" s="9"/>
      <c r="AR127" s="9"/>
      <c r="AS127" s="9"/>
      <c r="AT127" s="1"/>
      <c r="AU127" s="1"/>
    </row>
    <row r="128" ht="10.5" customHeight="1">
      <c r="A128" s="1"/>
      <c r="B128" s="2"/>
      <c r="C128" s="1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10"/>
      <c r="AO128" s="9"/>
      <c r="AP128" s="9"/>
      <c r="AQ128" s="9"/>
      <c r="AR128" s="9"/>
      <c r="AS128" s="9"/>
      <c r="AT128" s="1"/>
      <c r="AU128" s="1"/>
    </row>
    <row r="129" ht="10.5" customHeight="1">
      <c r="A129" s="1"/>
      <c r="B129" s="2"/>
      <c r="C129" s="1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10"/>
      <c r="AO129" s="9"/>
      <c r="AP129" s="9"/>
      <c r="AQ129" s="9"/>
      <c r="AR129" s="9"/>
      <c r="AS129" s="9"/>
      <c r="AT129" s="1"/>
      <c r="AU129" s="1"/>
    </row>
    <row r="130" ht="10.5" customHeight="1">
      <c r="A130" s="1"/>
      <c r="B130" s="2"/>
      <c r="C130" s="1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10"/>
      <c r="AO130" s="9"/>
      <c r="AP130" s="9"/>
      <c r="AQ130" s="9"/>
      <c r="AR130" s="9"/>
      <c r="AS130" s="9"/>
      <c r="AT130" s="1"/>
      <c r="AU130" s="1"/>
    </row>
    <row r="131" ht="10.5" customHeight="1">
      <c r="A131" s="1"/>
      <c r="B131" s="2"/>
      <c r="C131" s="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10"/>
      <c r="AO131" s="9"/>
      <c r="AP131" s="9"/>
      <c r="AQ131" s="9"/>
      <c r="AR131" s="9"/>
      <c r="AS131" s="9"/>
      <c r="AT131" s="1"/>
      <c r="AU131" s="1"/>
    </row>
    <row r="132" ht="10.5" customHeight="1">
      <c r="A132" s="1"/>
      <c r="B132" s="2"/>
      <c r="C132" s="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10"/>
      <c r="AO132" s="9"/>
      <c r="AP132" s="9"/>
      <c r="AQ132" s="9"/>
      <c r="AR132" s="9"/>
      <c r="AS132" s="9"/>
      <c r="AT132" s="1"/>
      <c r="AU132" s="1"/>
    </row>
    <row r="133" ht="10.5" customHeight="1">
      <c r="A133" s="1"/>
      <c r="B133" s="2"/>
      <c r="C133" s="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10"/>
      <c r="AO133" s="9"/>
      <c r="AP133" s="9"/>
      <c r="AQ133" s="9"/>
      <c r="AR133" s="9"/>
      <c r="AS133" s="9"/>
      <c r="AT133" s="1"/>
      <c r="AU133" s="1"/>
    </row>
    <row r="134" ht="10.5" customHeight="1">
      <c r="A134" s="1"/>
      <c r="B134" s="2"/>
      <c r="C134" s="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10"/>
      <c r="AO134" s="9"/>
      <c r="AP134" s="9"/>
      <c r="AQ134" s="9"/>
      <c r="AR134" s="9"/>
      <c r="AS134" s="9"/>
      <c r="AT134" s="1"/>
      <c r="AU134" s="1"/>
    </row>
    <row r="135" ht="10.5" customHeight="1">
      <c r="A135" s="1"/>
      <c r="B135" s="2"/>
      <c r="C135" s="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10"/>
      <c r="AO135" s="9"/>
      <c r="AP135" s="9"/>
      <c r="AQ135" s="9"/>
      <c r="AR135" s="9"/>
      <c r="AS135" s="9"/>
      <c r="AT135" s="1"/>
      <c r="AU135" s="1"/>
    </row>
    <row r="136" ht="10.5" customHeight="1">
      <c r="A136" s="1"/>
      <c r="B136" s="2"/>
      <c r="C136" s="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10"/>
      <c r="AO136" s="9"/>
      <c r="AP136" s="9"/>
      <c r="AQ136" s="9"/>
      <c r="AR136" s="9"/>
      <c r="AS136" s="9"/>
      <c r="AT136" s="1"/>
      <c r="AU136" s="1"/>
    </row>
    <row r="137" ht="10.5" customHeight="1">
      <c r="A137" s="1"/>
      <c r="B137" s="2"/>
      <c r="C137" s="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10"/>
      <c r="AO137" s="9"/>
      <c r="AP137" s="9"/>
      <c r="AQ137" s="9"/>
      <c r="AR137" s="9"/>
      <c r="AS137" s="9"/>
      <c r="AT137" s="1"/>
      <c r="AU137" s="1"/>
    </row>
    <row r="138" ht="10.5" customHeight="1">
      <c r="A138" s="1"/>
      <c r="B138" s="2"/>
      <c r="C138" s="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10"/>
      <c r="AO138" s="9"/>
      <c r="AP138" s="9"/>
      <c r="AQ138" s="9"/>
      <c r="AR138" s="9"/>
      <c r="AS138" s="9"/>
      <c r="AT138" s="1"/>
      <c r="AU138" s="1"/>
    </row>
    <row r="139" ht="10.5" customHeight="1">
      <c r="A139" s="1"/>
      <c r="B139" s="2"/>
      <c r="C139" s="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10"/>
      <c r="AO139" s="9"/>
      <c r="AP139" s="9"/>
      <c r="AQ139" s="9"/>
      <c r="AR139" s="9"/>
      <c r="AS139" s="9"/>
      <c r="AT139" s="1"/>
      <c r="AU139" s="1"/>
    </row>
    <row r="140" ht="10.5" customHeight="1">
      <c r="A140" s="1"/>
      <c r="B140" s="2"/>
      <c r="C140" s="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10"/>
      <c r="AO140" s="9"/>
      <c r="AP140" s="9"/>
      <c r="AQ140" s="9"/>
      <c r="AR140" s="9"/>
      <c r="AS140" s="9"/>
      <c r="AT140" s="1"/>
      <c r="AU140" s="1"/>
    </row>
    <row r="141" ht="10.5" customHeight="1">
      <c r="A141" s="1"/>
      <c r="B141" s="2"/>
      <c r="C141" s="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10"/>
      <c r="AO141" s="9"/>
      <c r="AP141" s="9"/>
      <c r="AQ141" s="9"/>
      <c r="AR141" s="9"/>
      <c r="AS141" s="9"/>
      <c r="AT141" s="1"/>
      <c r="AU141" s="1"/>
    </row>
    <row r="142" ht="10.5" customHeight="1">
      <c r="A142" s="1"/>
      <c r="B142" s="2"/>
      <c r="C142" s="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10"/>
      <c r="AO142" s="9"/>
      <c r="AP142" s="9"/>
      <c r="AQ142" s="9"/>
      <c r="AR142" s="9"/>
      <c r="AS142" s="9"/>
      <c r="AT142" s="1"/>
      <c r="AU142" s="1"/>
    </row>
    <row r="143" ht="10.5" customHeight="1">
      <c r="A143" s="1"/>
      <c r="B143" s="2"/>
      <c r="C143" s="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10"/>
      <c r="AO143" s="9"/>
      <c r="AP143" s="9"/>
      <c r="AQ143" s="9"/>
      <c r="AR143" s="9"/>
      <c r="AS143" s="9"/>
      <c r="AT143" s="1"/>
      <c r="AU143" s="1"/>
    </row>
    <row r="144" ht="10.5" customHeight="1">
      <c r="A144" s="1"/>
      <c r="B144" s="2"/>
      <c r="C144" s="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10"/>
      <c r="AO144" s="9"/>
      <c r="AP144" s="9"/>
      <c r="AQ144" s="9"/>
      <c r="AR144" s="9"/>
      <c r="AS144" s="9"/>
      <c r="AT144" s="1"/>
      <c r="AU144" s="1"/>
    </row>
    <row r="145" ht="10.5" customHeight="1">
      <c r="A145" s="1"/>
      <c r="B145" s="2"/>
      <c r="C145" s="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10"/>
      <c r="AO145" s="9"/>
      <c r="AP145" s="9"/>
      <c r="AQ145" s="9"/>
      <c r="AR145" s="9"/>
      <c r="AS145" s="9"/>
      <c r="AT145" s="1"/>
      <c r="AU145" s="1"/>
    </row>
    <row r="146" ht="10.5" customHeight="1">
      <c r="A146" s="1"/>
      <c r="B146" s="2"/>
      <c r="C146" s="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10"/>
      <c r="AO146" s="9"/>
      <c r="AP146" s="9"/>
      <c r="AQ146" s="9"/>
      <c r="AR146" s="9"/>
      <c r="AS146" s="9"/>
      <c r="AT146" s="1"/>
      <c r="AU146" s="1"/>
    </row>
    <row r="147" ht="10.5" customHeight="1">
      <c r="A147" s="1"/>
      <c r="B147" s="2"/>
      <c r="C147" s="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10"/>
      <c r="AO147" s="9"/>
      <c r="AP147" s="9"/>
      <c r="AQ147" s="9"/>
      <c r="AR147" s="9"/>
      <c r="AS147" s="9"/>
      <c r="AT147" s="1"/>
      <c r="AU147" s="1"/>
    </row>
    <row r="148" ht="10.5" customHeight="1">
      <c r="A148" s="1"/>
      <c r="B148" s="2"/>
      <c r="C148" s="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10"/>
      <c r="AO148" s="9"/>
      <c r="AP148" s="9"/>
      <c r="AQ148" s="9"/>
      <c r="AR148" s="9"/>
      <c r="AS148" s="9"/>
      <c r="AT148" s="1"/>
      <c r="AU148" s="1"/>
    </row>
    <row r="149" ht="10.5" customHeight="1">
      <c r="A149" s="1"/>
      <c r="B149" s="2"/>
      <c r="C149" s="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10"/>
      <c r="AO149" s="9"/>
      <c r="AP149" s="9"/>
      <c r="AQ149" s="9"/>
      <c r="AR149" s="9"/>
      <c r="AS149" s="9"/>
      <c r="AT149" s="1"/>
      <c r="AU149" s="1"/>
    </row>
    <row r="150" ht="10.5" customHeight="1">
      <c r="A150" s="1"/>
      <c r="B150" s="2"/>
      <c r="C150" s="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10"/>
      <c r="AO150" s="9"/>
      <c r="AP150" s="9"/>
      <c r="AQ150" s="9"/>
      <c r="AR150" s="9"/>
      <c r="AS150" s="9"/>
      <c r="AT150" s="1"/>
      <c r="AU150" s="1"/>
    </row>
    <row r="151" ht="10.5" customHeight="1">
      <c r="A151" s="1"/>
      <c r="B151" s="2"/>
      <c r="C151" s="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10"/>
      <c r="AO151" s="9"/>
      <c r="AP151" s="9"/>
      <c r="AQ151" s="9"/>
      <c r="AR151" s="9"/>
      <c r="AS151" s="9"/>
      <c r="AT151" s="1"/>
      <c r="AU151" s="1"/>
    </row>
    <row r="152" ht="10.5" customHeight="1">
      <c r="A152" s="1"/>
      <c r="B152" s="2"/>
      <c r="C152" s="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10"/>
      <c r="AO152" s="9"/>
      <c r="AP152" s="9"/>
      <c r="AQ152" s="9"/>
      <c r="AR152" s="9"/>
      <c r="AS152" s="9"/>
      <c r="AT152" s="1"/>
      <c r="AU152" s="1"/>
    </row>
    <row r="153" ht="10.5" customHeight="1">
      <c r="A153" s="1"/>
      <c r="B153" s="2"/>
      <c r="C153" s="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10"/>
      <c r="AO153" s="9"/>
      <c r="AP153" s="9"/>
      <c r="AQ153" s="9"/>
      <c r="AR153" s="9"/>
      <c r="AS153" s="9"/>
      <c r="AT153" s="1"/>
      <c r="AU153" s="1"/>
    </row>
    <row r="154" ht="10.5" customHeight="1">
      <c r="A154" s="1"/>
      <c r="B154" s="2"/>
      <c r="C154" s="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10"/>
      <c r="AO154" s="9"/>
      <c r="AP154" s="9"/>
      <c r="AQ154" s="9"/>
      <c r="AR154" s="9"/>
      <c r="AS154" s="9"/>
      <c r="AT154" s="1"/>
      <c r="AU154" s="1"/>
    </row>
    <row r="155" ht="10.5" customHeight="1">
      <c r="A155" s="1"/>
      <c r="B155" s="2"/>
      <c r="C155" s="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10"/>
      <c r="AO155" s="9"/>
      <c r="AP155" s="9"/>
      <c r="AQ155" s="9"/>
      <c r="AR155" s="9"/>
      <c r="AS155" s="9"/>
      <c r="AT155" s="1"/>
      <c r="AU155" s="1"/>
    </row>
    <row r="156" ht="10.5" customHeight="1">
      <c r="A156" s="1"/>
      <c r="B156" s="2"/>
      <c r="C156" s="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10"/>
      <c r="AO156" s="9"/>
      <c r="AP156" s="9"/>
      <c r="AQ156" s="9"/>
      <c r="AR156" s="9"/>
      <c r="AS156" s="9"/>
      <c r="AT156" s="1"/>
      <c r="AU156" s="1"/>
    </row>
    <row r="157" ht="10.5" customHeight="1">
      <c r="A157" s="1"/>
      <c r="B157" s="2"/>
      <c r="C157" s="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10"/>
      <c r="AO157" s="9"/>
      <c r="AP157" s="9"/>
      <c r="AQ157" s="9"/>
      <c r="AR157" s="9"/>
      <c r="AS157" s="9"/>
      <c r="AT157" s="1"/>
      <c r="AU157" s="1"/>
    </row>
    <row r="158" ht="10.5" customHeight="1">
      <c r="A158" s="1"/>
      <c r="B158" s="2"/>
      <c r="C158" s="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10"/>
      <c r="AO158" s="9"/>
      <c r="AP158" s="9"/>
      <c r="AQ158" s="9"/>
      <c r="AR158" s="9"/>
      <c r="AS158" s="9"/>
      <c r="AT158" s="1"/>
      <c r="AU158" s="1"/>
    </row>
    <row r="159" ht="10.5" customHeight="1">
      <c r="A159" s="1"/>
      <c r="B159" s="2"/>
      <c r="C159" s="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10"/>
      <c r="AO159" s="9"/>
      <c r="AP159" s="9"/>
      <c r="AQ159" s="9"/>
      <c r="AR159" s="9"/>
      <c r="AS159" s="9"/>
      <c r="AT159" s="1"/>
      <c r="AU159" s="1"/>
    </row>
    <row r="160" ht="10.5" customHeight="1">
      <c r="A160" s="1"/>
      <c r="B160" s="2"/>
      <c r="C160" s="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10"/>
      <c r="AO160" s="9"/>
      <c r="AP160" s="9"/>
      <c r="AQ160" s="9"/>
      <c r="AR160" s="9"/>
      <c r="AS160" s="9"/>
      <c r="AT160" s="1"/>
      <c r="AU160" s="1"/>
    </row>
    <row r="161" ht="10.5" customHeight="1">
      <c r="A161" s="1"/>
      <c r="B161" s="2"/>
      <c r="C161" s="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10"/>
      <c r="AO161" s="9"/>
      <c r="AP161" s="9"/>
      <c r="AQ161" s="9"/>
      <c r="AR161" s="9"/>
      <c r="AS161" s="9"/>
      <c r="AT161" s="1"/>
      <c r="AU161" s="1"/>
    </row>
    <row r="162" ht="10.5" customHeight="1">
      <c r="A162" s="1"/>
      <c r="B162" s="2"/>
      <c r="C162" s="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10"/>
      <c r="AO162" s="9"/>
      <c r="AP162" s="9"/>
      <c r="AQ162" s="9"/>
      <c r="AR162" s="9"/>
      <c r="AS162" s="9"/>
      <c r="AT162" s="1"/>
      <c r="AU162" s="1"/>
    </row>
    <row r="163" ht="10.5" customHeight="1">
      <c r="A163" s="1"/>
      <c r="B163" s="2"/>
      <c r="C163" s="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10"/>
      <c r="AO163" s="9"/>
      <c r="AP163" s="9"/>
      <c r="AQ163" s="9"/>
      <c r="AR163" s="9"/>
      <c r="AS163" s="9"/>
      <c r="AT163" s="1"/>
      <c r="AU163" s="1"/>
    </row>
    <row r="164" ht="10.5" customHeight="1">
      <c r="A164" s="1"/>
      <c r="B164" s="2"/>
      <c r="C164" s="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10"/>
      <c r="AO164" s="9"/>
      <c r="AP164" s="9"/>
      <c r="AQ164" s="9"/>
      <c r="AR164" s="9"/>
      <c r="AS164" s="9"/>
      <c r="AT164" s="1"/>
      <c r="AU164" s="1"/>
    </row>
    <row r="165" ht="10.5" customHeight="1">
      <c r="A165" s="1"/>
      <c r="B165" s="2"/>
      <c r="C165" s="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10"/>
      <c r="AO165" s="9"/>
      <c r="AP165" s="9"/>
      <c r="AQ165" s="9"/>
      <c r="AR165" s="9"/>
      <c r="AS165" s="9"/>
      <c r="AT165" s="1"/>
      <c r="AU165" s="1"/>
    </row>
    <row r="166" ht="10.5" customHeight="1">
      <c r="A166" s="1"/>
      <c r="B166" s="2"/>
      <c r="C166" s="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10"/>
      <c r="AO166" s="9"/>
      <c r="AP166" s="9"/>
      <c r="AQ166" s="9"/>
      <c r="AR166" s="9"/>
      <c r="AS166" s="9"/>
      <c r="AT166" s="1"/>
      <c r="AU166" s="1"/>
    </row>
    <row r="167" ht="10.5" customHeight="1">
      <c r="A167" s="1"/>
      <c r="B167" s="2"/>
      <c r="C167" s="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10"/>
      <c r="AO167" s="9"/>
      <c r="AP167" s="9"/>
      <c r="AQ167" s="9"/>
      <c r="AR167" s="9"/>
      <c r="AS167" s="9"/>
      <c r="AT167" s="1"/>
      <c r="AU167" s="1"/>
    </row>
    <row r="168" ht="10.5" customHeight="1">
      <c r="A168" s="1"/>
      <c r="B168" s="2"/>
      <c r="C168" s="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10"/>
      <c r="AO168" s="9"/>
      <c r="AP168" s="9"/>
      <c r="AQ168" s="9"/>
      <c r="AR168" s="9"/>
      <c r="AS168" s="9"/>
      <c r="AT168" s="1"/>
      <c r="AU168" s="1"/>
    </row>
    <row r="169" ht="10.5" customHeight="1">
      <c r="A169" s="1"/>
      <c r="B169" s="2"/>
      <c r="C169" s="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10"/>
      <c r="AO169" s="9"/>
      <c r="AP169" s="9"/>
      <c r="AQ169" s="9"/>
      <c r="AR169" s="9"/>
      <c r="AS169" s="9"/>
      <c r="AT169" s="1"/>
      <c r="AU169" s="1"/>
    </row>
    <row r="170" ht="10.5" customHeight="1">
      <c r="A170" s="1"/>
      <c r="B170" s="2"/>
      <c r="C170" s="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10"/>
      <c r="AO170" s="9"/>
      <c r="AP170" s="9"/>
      <c r="AQ170" s="9"/>
      <c r="AR170" s="9"/>
      <c r="AS170" s="9"/>
      <c r="AT170" s="1"/>
      <c r="AU170" s="1"/>
    </row>
    <row r="171" ht="10.5" customHeight="1">
      <c r="A171" s="1"/>
      <c r="B171" s="2"/>
      <c r="C171" s="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10"/>
      <c r="AO171" s="9"/>
      <c r="AP171" s="9"/>
      <c r="AQ171" s="9"/>
      <c r="AR171" s="9"/>
      <c r="AS171" s="9"/>
      <c r="AT171" s="1"/>
      <c r="AU171" s="1"/>
    </row>
    <row r="172" ht="10.5" customHeight="1">
      <c r="A172" s="1"/>
      <c r="B172" s="2"/>
      <c r="C172" s="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10"/>
      <c r="AO172" s="9"/>
      <c r="AP172" s="9"/>
      <c r="AQ172" s="9"/>
      <c r="AR172" s="9"/>
      <c r="AS172" s="9"/>
      <c r="AT172" s="1"/>
      <c r="AU172" s="1"/>
    </row>
    <row r="173" ht="10.5" customHeight="1">
      <c r="A173" s="1"/>
      <c r="B173" s="2"/>
      <c r="C173" s="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10"/>
      <c r="AO173" s="9"/>
      <c r="AP173" s="9"/>
      <c r="AQ173" s="9"/>
      <c r="AR173" s="9"/>
      <c r="AS173" s="9"/>
      <c r="AT173" s="1"/>
      <c r="AU173" s="1"/>
    </row>
    <row r="174" ht="10.5" customHeight="1">
      <c r="A174" s="1"/>
      <c r="B174" s="2"/>
      <c r="C174" s="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10"/>
      <c r="AO174" s="9"/>
      <c r="AP174" s="9"/>
      <c r="AQ174" s="9"/>
      <c r="AR174" s="9"/>
      <c r="AS174" s="9"/>
      <c r="AT174" s="1"/>
      <c r="AU174" s="1"/>
    </row>
    <row r="175" ht="10.5" customHeight="1">
      <c r="A175" s="1"/>
      <c r="B175" s="2"/>
      <c r="C175" s="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10"/>
      <c r="AO175" s="9"/>
      <c r="AP175" s="9"/>
      <c r="AQ175" s="9"/>
      <c r="AR175" s="9"/>
      <c r="AS175" s="9"/>
      <c r="AT175" s="1"/>
      <c r="AU175" s="1"/>
    </row>
    <row r="176" ht="10.5" customHeight="1">
      <c r="A176" s="1"/>
      <c r="B176" s="2"/>
      <c r="C176" s="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10"/>
      <c r="AO176" s="9"/>
      <c r="AP176" s="9"/>
      <c r="AQ176" s="9"/>
      <c r="AR176" s="9"/>
      <c r="AS176" s="9"/>
      <c r="AT176" s="1"/>
      <c r="AU176" s="1"/>
    </row>
    <row r="177" ht="10.5" customHeight="1">
      <c r="A177" s="1"/>
      <c r="B177" s="2"/>
      <c r="C177" s="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10"/>
      <c r="AO177" s="9"/>
      <c r="AP177" s="9"/>
      <c r="AQ177" s="9"/>
      <c r="AR177" s="9"/>
      <c r="AS177" s="9"/>
      <c r="AT177" s="1"/>
      <c r="AU177" s="1"/>
    </row>
    <row r="178" ht="10.5" customHeight="1">
      <c r="A178" s="1"/>
      <c r="B178" s="2"/>
      <c r="C178" s="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10"/>
      <c r="AO178" s="9"/>
      <c r="AP178" s="9"/>
      <c r="AQ178" s="9"/>
      <c r="AR178" s="9"/>
      <c r="AS178" s="9"/>
      <c r="AT178" s="1"/>
      <c r="AU178" s="1"/>
    </row>
    <row r="179" ht="10.5" customHeight="1">
      <c r="A179" s="1"/>
      <c r="B179" s="2"/>
      <c r="C179" s="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10"/>
      <c r="AO179" s="9"/>
      <c r="AP179" s="9"/>
      <c r="AQ179" s="9"/>
      <c r="AR179" s="9"/>
      <c r="AS179" s="9"/>
      <c r="AT179" s="1"/>
      <c r="AU179" s="1"/>
    </row>
    <row r="180" ht="10.5" customHeight="1">
      <c r="A180" s="1"/>
      <c r="B180" s="2"/>
      <c r="C180" s="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10"/>
      <c r="AO180" s="9"/>
      <c r="AP180" s="9"/>
      <c r="AQ180" s="9"/>
      <c r="AR180" s="9"/>
      <c r="AS180" s="9"/>
      <c r="AT180" s="1"/>
      <c r="AU180" s="1"/>
    </row>
    <row r="181" ht="10.5" customHeight="1">
      <c r="A181" s="1"/>
      <c r="B181" s="2"/>
      <c r="C181" s="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10"/>
      <c r="AO181" s="9"/>
      <c r="AP181" s="9"/>
      <c r="AQ181" s="9"/>
      <c r="AR181" s="9"/>
      <c r="AS181" s="9"/>
      <c r="AT181" s="1"/>
      <c r="AU181" s="1"/>
    </row>
    <row r="182" ht="10.5" customHeight="1">
      <c r="A182" s="1"/>
      <c r="B182" s="2"/>
      <c r="C182" s="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10"/>
      <c r="AO182" s="9"/>
      <c r="AP182" s="9"/>
      <c r="AQ182" s="9"/>
      <c r="AR182" s="9"/>
      <c r="AS182" s="9"/>
      <c r="AT182" s="1"/>
      <c r="AU182" s="1"/>
    </row>
    <row r="183" ht="10.5" customHeight="1">
      <c r="A183" s="1"/>
      <c r="B183" s="2"/>
      <c r="C183" s="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10"/>
      <c r="AO183" s="9"/>
      <c r="AP183" s="9"/>
      <c r="AQ183" s="9"/>
      <c r="AR183" s="9"/>
      <c r="AS183" s="9"/>
      <c r="AT183" s="1"/>
      <c r="AU183" s="1"/>
    </row>
    <row r="184" ht="10.5" customHeight="1">
      <c r="A184" s="1"/>
      <c r="B184" s="2"/>
      <c r="C184" s="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10"/>
      <c r="AO184" s="9"/>
      <c r="AP184" s="9"/>
      <c r="AQ184" s="9"/>
      <c r="AR184" s="9"/>
      <c r="AS184" s="9"/>
      <c r="AT184" s="1"/>
      <c r="AU184" s="1"/>
    </row>
    <row r="185" ht="10.5" customHeight="1">
      <c r="A185" s="1"/>
      <c r="B185" s="2"/>
      <c r="C185" s="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10"/>
      <c r="AO185" s="9"/>
      <c r="AP185" s="9"/>
      <c r="AQ185" s="9"/>
      <c r="AR185" s="9"/>
      <c r="AS185" s="9"/>
      <c r="AT185" s="1"/>
      <c r="AU185" s="1"/>
    </row>
    <row r="186" ht="10.5" customHeight="1">
      <c r="A186" s="1"/>
      <c r="B186" s="2"/>
      <c r="C186" s="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10"/>
      <c r="AO186" s="9"/>
      <c r="AP186" s="9"/>
      <c r="AQ186" s="9"/>
      <c r="AR186" s="9"/>
      <c r="AS186" s="9"/>
      <c r="AT186" s="1"/>
      <c r="AU186" s="1"/>
    </row>
    <row r="187" ht="10.5" customHeight="1">
      <c r="A187" s="1"/>
      <c r="B187" s="2"/>
      <c r="C187" s="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10"/>
      <c r="AO187" s="9"/>
      <c r="AP187" s="9"/>
      <c r="AQ187" s="9"/>
      <c r="AR187" s="9"/>
      <c r="AS187" s="9"/>
      <c r="AT187" s="1"/>
      <c r="AU187" s="1"/>
    </row>
    <row r="188" ht="10.5" customHeight="1">
      <c r="A188" s="1"/>
      <c r="B188" s="2"/>
      <c r="C188" s="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10"/>
      <c r="AO188" s="9"/>
      <c r="AP188" s="9"/>
      <c r="AQ188" s="9"/>
      <c r="AR188" s="9"/>
      <c r="AS188" s="9"/>
      <c r="AT188" s="1"/>
      <c r="AU188" s="1"/>
    </row>
    <row r="189" ht="10.5" customHeight="1">
      <c r="A189" s="1"/>
      <c r="B189" s="2"/>
      <c r="C189" s="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10"/>
      <c r="AO189" s="9"/>
      <c r="AP189" s="9"/>
      <c r="AQ189" s="9"/>
      <c r="AR189" s="9"/>
      <c r="AS189" s="9"/>
      <c r="AT189" s="1"/>
      <c r="AU189" s="1"/>
    </row>
    <row r="190" ht="10.5" customHeight="1">
      <c r="A190" s="1"/>
      <c r="B190" s="2"/>
      <c r="C190" s="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10"/>
      <c r="AO190" s="9"/>
      <c r="AP190" s="9"/>
      <c r="AQ190" s="9"/>
      <c r="AR190" s="9"/>
      <c r="AS190" s="9"/>
      <c r="AT190" s="1"/>
      <c r="AU190" s="1"/>
    </row>
    <row r="191" ht="10.5" customHeight="1">
      <c r="A191" s="1"/>
      <c r="B191" s="2"/>
      <c r="C191" s="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10"/>
      <c r="AO191" s="9"/>
      <c r="AP191" s="9"/>
      <c r="AQ191" s="9"/>
      <c r="AR191" s="9"/>
      <c r="AS191" s="9"/>
      <c r="AT191" s="1"/>
      <c r="AU191" s="1"/>
    </row>
    <row r="192" ht="10.5" customHeight="1">
      <c r="A192" s="1"/>
      <c r="B192" s="2"/>
      <c r="C192" s="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10"/>
      <c r="AO192" s="9"/>
      <c r="AP192" s="9"/>
      <c r="AQ192" s="9"/>
      <c r="AR192" s="9"/>
      <c r="AS192" s="9"/>
      <c r="AT192" s="1"/>
      <c r="AU192" s="1"/>
    </row>
    <row r="193" ht="10.5" customHeight="1">
      <c r="A193" s="1"/>
      <c r="B193" s="2"/>
      <c r="C193" s="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10"/>
      <c r="AO193" s="9"/>
      <c r="AP193" s="9"/>
      <c r="AQ193" s="9"/>
      <c r="AR193" s="9"/>
      <c r="AS193" s="9"/>
      <c r="AT193" s="1"/>
      <c r="AU193" s="1"/>
    </row>
    <row r="194" ht="10.5" customHeight="1">
      <c r="A194" s="1"/>
      <c r="B194" s="2"/>
      <c r="C194" s="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10"/>
      <c r="AO194" s="9"/>
      <c r="AP194" s="9"/>
      <c r="AQ194" s="9"/>
      <c r="AR194" s="9"/>
      <c r="AS194" s="9"/>
      <c r="AT194" s="1"/>
      <c r="AU194" s="1"/>
    </row>
    <row r="195" ht="10.5" customHeight="1">
      <c r="A195" s="1"/>
      <c r="B195" s="2"/>
      <c r="C195" s="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10"/>
      <c r="AO195" s="9"/>
      <c r="AP195" s="9"/>
      <c r="AQ195" s="9"/>
      <c r="AR195" s="9"/>
      <c r="AS195" s="9"/>
      <c r="AT195" s="1"/>
      <c r="AU195" s="1"/>
    </row>
    <row r="196" ht="10.5" customHeight="1">
      <c r="A196" s="1"/>
      <c r="B196" s="2"/>
      <c r="C196" s="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10"/>
      <c r="AO196" s="9"/>
      <c r="AP196" s="9"/>
      <c r="AQ196" s="9"/>
      <c r="AR196" s="9"/>
      <c r="AS196" s="9"/>
      <c r="AT196" s="1"/>
      <c r="AU196" s="1"/>
    </row>
    <row r="197" ht="10.5" customHeight="1">
      <c r="A197" s="1"/>
      <c r="B197" s="2"/>
      <c r="C197" s="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10"/>
      <c r="AO197" s="9"/>
      <c r="AP197" s="9"/>
      <c r="AQ197" s="9"/>
      <c r="AR197" s="9"/>
      <c r="AS197" s="9"/>
      <c r="AT197" s="1"/>
      <c r="AU197" s="1"/>
    </row>
    <row r="198" ht="10.5" customHeight="1">
      <c r="A198" s="1"/>
      <c r="B198" s="2"/>
      <c r="C198" s="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10"/>
      <c r="AO198" s="9"/>
      <c r="AP198" s="9"/>
      <c r="AQ198" s="9"/>
      <c r="AR198" s="9"/>
      <c r="AS198" s="9"/>
      <c r="AT198" s="1"/>
      <c r="AU198" s="1"/>
    </row>
    <row r="199" ht="10.5" customHeight="1">
      <c r="A199" s="1"/>
      <c r="B199" s="2"/>
      <c r="C199" s="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10"/>
      <c r="AO199" s="9"/>
      <c r="AP199" s="9"/>
      <c r="AQ199" s="9"/>
      <c r="AR199" s="9"/>
      <c r="AS199" s="9"/>
      <c r="AT199" s="1"/>
      <c r="AU199" s="1"/>
    </row>
    <row r="200" ht="10.5" customHeight="1">
      <c r="A200" s="1"/>
      <c r="B200" s="2"/>
      <c r="C200" s="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10"/>
      <c r="AO200" s="9"/>
      <c r="AP200" s="9"/>
      <c r="AQ200" s="9"/>
      <c r="AR200" s="9"/>
      <c r="AS200" s="9"/>
      <c r="AT200" s="1"/>
      <c r="AU200" s="1"/>
    </row>
    <row r="201" ht="10.5" customHeight="1">
      <c r="A201" s="1"/>
      <c r="B201" s="2"/>
      <c r="C201" s="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10"/>
      <c r="AO201" s="9"/>
      <c r="AP201" s="9"/>
      <c r="AQ201" s="9"/>
      <c r="AR201" s="9"/>
      <c r="AS201" s="9"/>
      <c r="AT201" s="1"/>
      <c r="AU201" s="1"/>
    </row>
    <row r="202" ht="10.5" customHeight="1">
      <c r="A202" s="1"/>
      <c r="B202" s="2"/>
      <c r="C202" s="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10"/>
      <c r="AO202" s="9"/>
      <c r="AP202" s="9"/>
      <c r="AQ202" s="9"/>
      <c r="AR202" s="9"/>
      <c r="AS202" s="9"/>
      <c r="AT202" s="1"/>
      <c r="AU202" s="1"/>
    </row>
    <row r="203" ht="10.5" customHeight="1">
      <c r="A203" s="1"/>
      <c r="B203" s="2"/>
      <c r="C203" s="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10"/>
      <c r="AO203" s="9"/>
      <c r="AP203" s="9"/>
      <c r="AQ203" s="9"/>
      <c r="AR203" s="9"/>
      <c r="AS203" s="9"/>
      <c r="AT203" s="1"/>
      <c r="AU203" s="1"/>
    </row>
    <row r="204" ht="10.5" customHeight="1">
      <c r="A204" s="1"/>
      <c r="B204" s="2"/>
      <c r="C204" s="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10"/>
      <c r="AO204" s="9"/>
      <c r="AP204" s="9"/>
      <c r="AQ204" s="9"/>
      <c r="AR204" s="9"/>
      <c r="AS204" s="9"/>
      <c r="AT204" s="1"/>
      <c r="AU204" s="1"/>
    </row>
    <row r="205" ht="10.5" customHeight="1">
      <c r="A205" s="1"/>
      <c r="B205" s="2"/>
      <c r="C205" s="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10"/>
      <c r="AO205" s="9"/>
      <c r="AP205" s="9"/>
      <c r="AQ205" s="9"/>
      <c r="AR205" s="9"/>
      <c r="AS205" s="9"/>
      <c r="AT205" s="1"/>
      <c r="AU205" s="1"/>
    </row>
    <row r="206" ht="10.5" customHeight="1">
      <c r="A206" s="1"/>
      <c r="B206" s="2"/>
      <c r="C206" s="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10"/>
      <c r="AO206" s="9"/>
      <c r="AP206" s="9"/>
      <c r="AQ206" s="9"/>
      <c r="AR206" s="9"/>
      <c r="AS206" s="9"/>
      <c r="AT206" s="1"/>
      <c r="AU206" s="1"/>
    </row>
    <row r="207" ht="10.5" customHeight="1">
      <c r="A207" s="1"/>
      <c r="B207" s="2"/>
      <c r="C207" s="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10"/>
      <c r="AO207" s="9"/>
      <c r="AP207" s="9"/>
      <c r="AQ207" s="9"/>
      <c r="AR207" s="9"/>
      <c r="AS207" s="9"/>
      <c r="AT207" s="1"/>
      <c r="AU207" s="1"/>
    </row>
    <row r="208" ht="10.5" customHeight="1">
      <c r="A208" s="1"/>
      <c r="B208" s="2"/>
      <c r="C208" s="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10"/>
      <c r="AO208" s="9"/>
      <c r="AP208" s="9"/>
      <c r="AQ208" s="9"/>
      <c r="AR208" s="9"/>
      <c r="AS208" s="9"/>
      <c r="AT208" s="1"/>
      <c r="AU208" s="1"/>
    </row>
    <row r="209" ht="10.5" customHeight="1">
      <c r="A209" s="1"/>
      <c r="B209" s="2"/>
      <c r="C209" s="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10"/>
      <c r="AO209" s="9"/>
      <c r="AP209" s="9"/>
      <c r="AQ209" s="9"/>
      <c r="AR209" s="9"/>
      <c r="AS209" s="9"/>
      <c r="AT209" s="1"/>
      <c r="AU209" s="1"/>
    </row>
    <row r="210" ht="10.5" customHeight="1">
      <c r="A210" s="1"/>
      <c r="B210" s="2"/>
      <c r="C210" s="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10"/>
      <c r="AO210" s="9"/>
      <c r="AP210" s="9"/>
      <c r="AQ210" s="9"/>
      <c r="AR210" s="9"/>
      <c r="AS210" s="9"/>
      <c r="AT210" s="1"/>
      <c r="AU210" s="1"/>
    </row>
    <row r="211" ht="10.5" customHeight="1">
      <c r="A211" s="1"/>
      <c r="B211" s="2"/>
      <c r="C211" s="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10"/>
      <c r="AO211" s="9"/>
      <c r="AP211" s="9"/>
      <c r="AQ211" s="9"/>
      <c r="AR211" s="9"/>
      <c r="AS211" s="9"/>
      <c r="AT211" s="1"/>
      <c r="AU211" s="1"/>
    </row>
    <row r="212" ht="10.5" customHeight="1">
      <c r="A212" s="1"/>
      <c r="B212" s="2"/>
      <c r="C212" s="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10"/>
      <c r="AO212" s="9"/>
      <c r="AP212" s="9"/>
      <c r="AQ212" s="9"/>
      <c r="AR212" s="9"/>
      <c r="AS212" s="9"/>
      <c r="AT212" s="1"/>
      <c r="AU212" s="1"/>
    </row>
    <row r="213" ht="10.5" customHeight="1">
      <c r="A213" s="1"/>
      <c r="B213" s="2"/>
      <c r="C213" s="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10"/>
      <c r="AO213" s="9"/>
      <c r="AP213" s="9"/>
      <c r="AQ213" s="9"/>
      <c r="AR213" s="9"/>
      <c r="AS213" s="9"/>
      <c r="AT213" s="1"/>
      <c r="AU213" s="1"/>
    </row>
    <row r="214" ht="10.5" customHeight="1">
      <c r="A214" s="1"/>
      <c r="B214" s="2"/>
      <c r="C214" s="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10"/>
      <c r="AO214" s="9"/>
      <c r="AP214" s="9"/>
      <c r="AQ214" s="9"/>
      <c r="AR214" s="9"/>
      <c r="AS214" s="9"/>
      <c r="AT214" s="1"/>
      <c r="AU214" s="1"/>
    </row>
    <row r="215" ht="10.5" customHeight="1">
      <c r="A215" s="1"/>
      <c r="B215" s="2"/>
      <c r="C215" s="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10"/>
      <c r="AO215" s="9"/>
      <c r="AP215" s="9"/>
      <c r="AQ215" s="9"/>
      <c r="AR215" s="9"/>
      <c r="AS215" s="9"/>
      <c r="AT215" s="1"/>
      <c r="AU215" s="1"/>
    </row>
    <row r="216" ht="10.5" customHeight="1">
      <c r="A216" s="1"/>
      <c r="B216" s="2"/>
      <c r="C216" s="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10"/>
      <c r="AO216" s="9"/>
      <c r="AP216" s="9"/>
      <c r="AQ216" s="9"/>
      <c r="AR216" s="9"/>
      <c r="AS216" s="9"/>
      <c r="AT216" s="1"/>
      <c r="AU216" s="1"/>
    </row>
    <row r="217" ht="10.5" customHeight="1">
      <c r="A217" s="1"/>
      <c r="B217" s="2"/>
      <c r="C217" s="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10"/>
      <c r="AO217" s="9"/>
      <c r="AP217" s="9"/>
      <c r="AQ217" s="9"/>
      <c r="AR217" s="9"/>
      <c r="AS217" s="9"/>
      <c r="AT217" s="1"/>
      <c r="AU217" s="1"/>
    </row>
    <row r="218" ht="10.5" customHeight="1">
      <c r="A218" s="1"/>
      <c r="B218" s="2"/>
      <c r="C218" s="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10"/>
      <c r="AO218" s="9"/>
      <c r="AP218" s="9"/>
      <c r="AQ218" s="9"/>
      <c r="AR218" s="9"/>
      <c r="AS218" s="9"/>
      <c r="AT218" s="1"/>
      <c r="AU218" s="1"/>
    </row>
    <row r="219" ht="10.5" customHeight="1">
      <c r="A219" s="1"/>
      <c r="B219" s="2"/>
      <c r="C219" s="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10"/>
      <c r="AO219" s="9"/>
      <c r="AP219" s="9"/>
      <c r="AQ219" s="9"/>
      <c r="AR219" s="9"/>
      <c r="AS219" s="9"/>
      <c r="AT219" s="1"/>
      <c r="AU219" s="1"/>
    </row>
    <row r="220" ht="10.5" customHeight="1">
      <c r="A220" s="1"/>
      <c r="B220" s="2"/>
      <c r="C220" s="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10"/>
      <c r="AO220" s="9"/>
      <c r="AP220" s="9"/>
      <c r="AQ220" s="9"/>
      <c r="AR220" s="9"/>
      <c r="AS220" s="9"/>
      <c r="AT220" s="1"/>
      <c r="AU220" s="1"/>
    </row>
    <row r="221" ht="10.5" customHeight="1">
      <c r="A221" s="1"/>
      <c r="B221" s="2"/>
      <c r="C221" s="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10"/>
      <c r="AO221" s="9"/>
      <c r="AP221" s="9"/>
      <c r="AQ221" s="9"/>
      <c r="AR221" s="9"/>
      <c r="AS221" s="9"/>
      <c r="AT221" s="1"/>
      <c r="AU221" s="1"/>
    </row>
    <row r="222" ht="10.5" customHeight="1">
      <c r="A222" s="1"/>
      <c r="B222" s="2"/>
      <c r="C222" s="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10"/>
      <c r="AO222" s="9"/>
      <c r="AP222" s="9"/>
      <c r="AQ222" s="9"/>
      <c r="AR222" s="9"/>
      <c r="AS222" s="9"/>
      <c r="AT222" s="1"/>
      <c r="AU222" s="1"/>
    </row>
    <row r="223" ht="10.5" customHeight="1">
      <c r="A223" s="1"/>
      <c r="B223" s="2"/>
      <c r="C223" s="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10"/>
      <c r="AO223" s="9"/>
      <c r="AP223" s="9"/>
      <c r="AQ223" s="9"/>
      <c r="AR223" s="9"/>
      <c r="AS223" s="9"/>
      <c r="AT223" s="1"/>
      <c r="AU223" s="1"/>
    </row>
    <row r="224" ht="10.5" customHeight="1">
      <c r="A224" s="1"/>
      <c r="B224" s="2"/>
      <c r="C224" s="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10"/>
      <c r="AO224" s="9"/>
      <c r="AP224" s="9"/>
      <c r="AQ224" s="9"/>
      <c r="AR224" s="9"/>
      <c r="AS224" s="9"/>
      <c r="AT224" s="1"/>
      <c r="AU224" s="1"/>
    </row>
    <row r="225" ht="10.5" customHeight="1">
      <c r="A225" s="1"/>
      <c r="B225" s="2"/>
      <c r="C225" s="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10"/>
      <c r="AO225" s="9"/>
      <c r="AP225" s="9"/>
      <c r="AQ225" s="9"/>
      <c r="AR225" s="9"/>
      <c r="AS225" s="9"/>
      <c r="AT225" s="1"/>
      <c r="AU225" s="1"/>
    </row>
    <row r="226" ht="10.5" customHeight="1">
      <c r="A226" s="1"/>
      <c r="B226" s="2"/>
      <c r="C226" s="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10"/>
      <c r="AO226" s="9"/>
      <c r="AP226" s="9"/>
      <c r="AQ226" s="9"/>
      <c r="AR226" s="9"/>
      <c r="AS226" s="9"/>
      <c r="AT226" s="1"/>
      <c r="AU226" s="1"/>
    </row>
    <row r="227" ht="10.5" customHeight="1">
      <c r="A227" s="1"/>
      <c r="B227" s="2"/>
      <c r="C227" s="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10"/>
      <c r="AO227" s="9"/>
      <c r="AP227" s="9"/>
      <c r="AQ227" s="9"/>
      <c r="AR227" s="9"/>
      <c r="AS227" s="9"/>
      <c r="AT227" s="1"/>
      <c r="AU227" s="1"/>
    </row>
    <row r="228" ht="10.5" customHeight="1">
      <c r="A228" s="1"/>
      <c r="B228" s="2"/>
      <c r="C228" s="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10"/>
      <c r="AO228" s="9"/>
      <c r="AP228" s="9"/>
      <c r="AQ228" s="9"/>
      <c r="AR228" s="9"/>
      <c r="AS228" s="9"/>
      <c r="AT228" s="1"/>
      <c r="AU228" s="1"/>
    </row>
    <row r="229" ht="10.5" customHeight="1">
      <c r="A229" s="1"/>
      <c r="B229" s="2"/>
      <c r="C229" s="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10"/>
      <c r="AO229" s="9"/>
      <c r="AP229" s="9"/>
      <c r="AQ229" s="9"/>
      <c r="AR229" s="9"/>
      <c r="AS229" s="9"/>
      <c r="AT229" s="1"/>
      <c r="AU229" s="1"/>
    </row>
    <row r="230" ht="10.5" customHeight="1">
      <c r="A230" s="1"/>
      <c r="B230" s="2"/>
      <c r="C230" s="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10"/>
      <c r="AO230" s="9"/>
      <c r="AP230" s="9"/>
      <c r="AQ230" s="9"/>
      <c r="AR230" s="9"/>
      <c r="AS230" s="9"/>
      <c r="AT230" s="1"/>
      <c r="AU230" s="1"/>
    </row>
    <row r="231" ht="10.5" customHeight="1">
      <c r="A231" s="1"/>
      <c r="B231" s="2"/>
      <c r="C231" s="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10"/>
      <c r="AO231" s="9"/>
      <c r="AP231" s="9"/>
      <c r="AQ231" s="9"/>
      <c r="AR231" s="9"/>
      <c r="AS231" s="9"/>
      <c r="AT231" s="1"/>
      <c r="AU231" s="1"/>
    </row>
    <row r="232" ht="10.5" customHeight="1">
      <c r="A232" s="1"/>
      <c r="B232" s="2"/>
      <c r="C232" s="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10"/>
      <c r="AO232" s="9"/>
      <c r="AP232" s="9"/>
      <c r="AQ232" s="9"/>
      <c r="AR232" s="9"/>
      <c r="AS232" s="9"/>
      <c r="AT232" s="1"/>
      <c r="AU232" s="1"/>
    </row>
    <row r="233" ht="10.5" customHeight="1">
      <c r="A233" s="1"/>
      <c r="B233" s="2"/>
      <c r="C233" s="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10"/>
      <c r="AO233" s="9"/>
      <c r="AP233" s="9"/>
      <c r="AQ233" s="9"/>
      <c r="AR233" s="9"/>
      <c r="AS233" s="9"/>
      <c r="AT233" s="1"/>
      <c r="AU233" s="1"/>
    </row>
    <row r="234" ht="10.5" customHeight="1">
      <c r="A234" s="1"/>
      <c r="B234" s="2"/>
      <c r="C234" s="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10"/>
      <c r="AO234" s="9"/>
      <c r="AP234" s="9"/>
      <c r="AQ234" s="9"/>
      <c r="AR234" s="9"/>
      <c r="AS234" s="9"/>
      <c r="AT234" s="1"/>
      <c r="AU234" s="1"/>
    </row>
    <row r="235" ht="10.5" customHeight="1">
      <c r="A235" s="1"/>
      <c r="B235" s="2"/>
      <c r="C235" s="1"/>
      <c r="D235" s="1"/>
      <c r="E235" s="9"/>
      <c r="F235" s="9"/>
      <c r="G235" s="9"/>
      <c r="H235" s="9"/>
      <c r="I235" s="9"/>
      <c r="J235" s="93"/>
      <c r="K235" s="9"/>
      <c r="L235" s="9"/>
      <c r="M235" s="9"/>
      <c r="N235" s="9"/>
      <c r="O235" s="9"/>
      <c r="P235" s="9"/>
      <c r="Q235" s="93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10"/>
      <c r="AO235" s="9"/>
      <c r="AP235" s="9"/>
      <c r="AQ235" s="9"/>
      <c r="AR235" s="9"/>
      <c r="AS235" s="9"/>
      <c r="AT235" s="1"/>
      <c r="AU235" s="1"/>
    </row>
    <row r="236" ht="10.5" customHeight="1">
      <c r="A236" s="1"/>
      <c r="B236" s="2"/>
      <c r="C236" s="1"/>
      <c r="D236" s="1"/>
      <c r="E236" s="1"/>
      <c r="F236" s="9"/>
      <c r="G236" s="9"/>
      <c r="H236" s="9"/>
      <c r="I236" s="9"/>
      <c r="J236" s="93"/>
      <c r="K236" s="9"/>
      <c r="L236" s="9"/>
      <c r="M236" s="9"/>
      <c r="N236" s="9"/>
      <c r="O236" s="9"/>
      <c r="P236" s="9"/>
      <c r="Q236" s="93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"/>
      <c r="AL236" s="1"/>
      <c r="AM236" s="1"/>
      <c r="AN236" s="94"/>
      <c r="AO236" s="1"/>
      <c r="AP236" s="1"/>
      <c r="AQ236" s="1"/>
      <c r="AR236" s="1"/>
      <c r="AS236" s="1"/>
      <c r="AT236" s="1"/>
      <c r="AU236" s="1"/>
    </row>
    <row r="237" ht="10.5" customHeight="1">
      <c r="A237" s="1"/>
      <c r="B237" s="2"/>
      <c r="C237" s="1"/>
      <c r="D237" s="1"/>
      <c r="E237" s="1"/>
      <c r="F237" s="9"/>
      <c r="G237" s="9"/>
      <c r="H237" s="9"/>
      <c r="I237" s="9"/>
      <c r="J237" s="93"/>
      <c r="K237" s="9"/>
      <c r="L237" s="9"/>
      <c r="M237" s="9"/>
      <c r="N237" s="9"/>
      <c r="O237" s="9"/>
      <c r="P237" s="9"/>
      <c r="Q237" s="93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"/>
      <c r="AL237" s="1"/>
      <c r="AM237" s="1"/>
      <c r="AN237" s="94"/>
      <c r="AO237" s="1"/>
      <c r="AP237" s="1"/>
      <c r="AQ237" s="1"/>
      <c r="AR237" s="1"/>
      <c r="AS237" s="1"/>
      <c r="AT237" s="1"/>
      <c r="AU237" s="1"/>
    </row>
    <row r="238" ht="10.5" customHeight="1">
      <c r="A238" s="1"/>
      <c r="B238" s="2"/>
      <c r="C238" s="1"/>
      <c r="D238" s="1"/>
      <c r="E238" s="1"/>
      <c r="F238" s="9"/>
      <c r="G238" s="9"/>
      <c r="H238" s="9"/>
      <c r="I238" s="9"/>
      <c r="J238" s="93"/>
      <c r="K238" s="9"/>
      <c r="L238" s="9"/>
      <c r="M238" s="9"/>
      <c r="N238" s="9"/>
      <c r="O238" s="9"/>
      <c r="P238" s="9"/>
      <c r="Q238" s="93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"/>
      <c r="AL238" s="1"/>
      <c r="AM238" s="1"/>
      <c r="AN238" s="94"/>
      <c r="AO238" s="1"/>
      <c r="AP238" s="1"/>
      <c r="AQ238" s="1"/>
      <c r="AR238" s="1"/>
      <c r="AS238" s="1"/>
      <c r="AT238" s="1"/>
      <c r="AU238" s="1"/>
    </row>
    <row r="239" ht="10.5" customHeight="1">
      <c r="A239" s="1"/>
      <c r="B239" s="2"/>
      <c r="C239" s="1"/>
      <c r="D239" s="1"/>
      <c r="E239" s="1"/>
      <c r="F239" s="9"/>
      <c r="G239" s="9"/>
      <c r="H239" s="9"/>
      <c r="I239" s="9"/>
      <c r="J239" s="93"/>
      <c r="K239" s="9"/>
      <c r="L239" s="9"/>
      <c r="M239" s="9"/>
      <c r="N239" s="9"/>
      <c r="O239" s="9"/>
      <c r="P239" s="9"/>
      <c r="Q239" s="93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"/>
      <c r="AL239" s="1"/>
      <c r="AM239" s="1"/>
      <c r="AN239" s="94"/>
      <c r="AO239" s="1"/>
      <c r="AP239" s="1"/>
      <c r="AQ239" s="1"/>
      <c r="AR239" s="1"/>
      <c r="AS239" s="1"/>
      <c r="AT239" s="1"/>
      <c r="AU239" s="1"/>
    </row>
    <row r="240" ht="10.5" customHeight="1">
      <c r="A240" s="1"/>
      <c r="B240" s="2"/>
      <c r="C240" s="1"/>
      <c r="D240" s="1"/>
      <c r="E240" s="1"/>
      <c r="F240" s="9"/>
      <c r="G240" s="9"/>
      <c r="H240" s="9"/>
      <c r="I240" s="9"/>
      <c r="J240" s="93"/>
      <c r="K240" s="9"/>
      <c r="L240" s="9"/>
      <c r="M240" s="9"/>
      <c r="N240" s="9"/>
      <c r="O240" s="9"/>
      <c r="P240" s="9"/>
      <c r="Q240" s="93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"/>
      <c r="AL240" s="1"/>
      <c r="AM240" s="1"/>
      <c r="AN240" s="94"/>
      <c r="AO240" s="1"/>
      <c r="AP240" s="1"/>
      <c r="AQ240" s="1"/>
      <c r="AR240" s="1"/>
      <c r="AS240" s="1"/>
      <c r="AT240" s="1"/>
      <c r="AU240" s="1"/>
    </row>
    <row r="241" ht="10.5" customHeight="1">
      <c r="A241" s="1"/>
      <c r="B241" s="2"/>
      <c r="C241" s="1"/>
      <c r="D241" s="1"/>
      <c r="E241" s="1"/>
      <c r="F241" s="9"/>
      <c r="G241" s="9"/>
      <c r="H241" s="9"/>
      <c r="I241" s="9"/>
      <c r="J241" s="93"/>
      <c r="K241" s="9"/>
      <c r="L241" s="9"/>
      <c r="M241" s="9"/>
      <c r="N241" s="9"/>
      <c r="O241" s="9"/>
      <c r="P241" s="9"/>
      <c r="Q241" s="93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"/>
      <c r="AL241" s="1"/>
      <c r="AM241" s="1"/>
      <c r="AN241" s="94"/>
      <c r="AO241" s="1"/>
      <c r="AP241" s="1"/>
      <c r="AQ241" s="1"/>
      <c r="AR241" s="1"/>
      <c r="AS241" s="1"/>
      <c r="AT241" s="1"/>
      <c r="AU241" s="1"/>
    </row>
    <row r="242" ht="10.5" customHeight="1">
      <c r="A242" s="1"/>
      <c r="B242" s="2"/>
      <c r="C242" s="1"/>
      <c r="D242" s="1"/>
      <c r="E242" s="1"/>
      <c r="F242" s="9"/>
      <c r="G242" s="9"/>
      <c r="H242" s="9"/>
      <c r="I242" s="9"/>
      <c r="J242" s="93"/>
      <c r="K242" s="9"/>
      <c r="L242" s="9"/>
      <c r="M242" s="9"/>
      <c r="N242" s="9"/>
      <c r="O242" s="9"/>
      <c r="P242" s="9"/>
      <c r="Q242" s="93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"/>
      <c r="AL242" s="1"/>
      <c r="AM242" s="1"/>
      <c r="AN242" s="94"/>
      <c r="AO242" s="1"/>
      <c r="AP242" s="1"/>
      <c r="AQ242" s="1"/>
      <c r="AR242" s="1"/>
      <c r="AS242" s="1"/>
      <c r="AT242" s="1"/>
      <c r="AU242" s="1"/>
    </row>
    <row r="243" ht="10.5" customHeight="1">
      <c r="A243" s="1"/>
      <c r="B243" s="2"/>
      <c r="C243" s="1"/>
      <c r="D243" s="1"/>
      <c r="E243" s="1"/>
      <c r="F243" s="9"/>
      <c r="G243" s="9"/>
      <c r="H243" s="9"/>
      <c r="I243" s="9"/>
      <c r="J243" s="93"/>
      <c r="K243" s="9"/>
      <c r="L243" s="9"/>
      <c r="M243" s="9"/>
      <c r="N243" s="9"/>
      <c r="O243" s="9"/>
      <c r="P243" s="9"/>
      <c r="Q243" s="93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1"/>
      <c r="AL243" s="1"/>
      <c r="AM243" s="1"/>
      <c r="AN243" s="94"/>
      <c r="AO243" s="1"/>
      <c r="AP243" s="1"/>
      <c r="AQ243" s="1"/>
      <c r="AR243" s="1"/>
      <c r="AS243" s="1"/>
      <c r="AT243" s="1"/>
      <c r="AU243" s="1"/>
    </row>
    <row r="244" ht="10.5" customHeight="1">
      <c r="A244" s="1"/>
      <c r="B244" s="2"/>
      <c r="C244" s="1"/>
      <c r="D244" s="1"/>
      <c r="E244" s="1"/>
      <c r="F244" s="9"/>
      <c r="G244" s="9"/>
      <c r="H244" s="9"/>
      <c r="I244" s="9"/>
      <c r="J244" s="93"/>
      <c r="K244" s="9"/>
      <c r="L244" s="9"/>
      <c r="M244" s="9"/>
      <c r="N244" s="9"/>
      <c r="O244" s="9"/>
      <c r="P244" s="9"/>
      <c r="Q244" s="93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"/>
      <c r="AL244" s="1"/>
      <c r="AM244" s="1"/>
      <c r="AN244" s="94"/>
      <c r="AO244" s="1"/>
      <c r="AP244" s="1"/>
      <c r="AQ244" s="1"/>
      <c r="AR244" s="1"/>
      <c r="AS244" s="1"/>
      <c r="AT244" s="1"/>
      <c r="AU244" s="1"/>
    </row>
    <row r="245" ht="10.5" customHeight="1">
      <c r="A245" s="1"/>
      <c r="B245" s="2"/>
      <c r="C245" s="1"/>
      <c r="D245" s="1"/>
      <c r="E245" s="1"/>
      <c r="F245" s="9"/>
      <c r="G245" s="9"/>
      <c r="H245" s="9"/>
      <c r="I245" s="9"/>
      <c r="J245" s="93"/>
      <c r="K245" s="9"/>
      <c r="L245" s="9"/>
      <c r="M245" s="9"/>
      <c r="N245" s="9"/>
      <c r="O245" s="9"/>
      <c r="P245" s="9"/>
      <c r="Q245" s="93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"/>
      <c r="AL245" s="1"/>
      <c r="AM245" s="1"/>
      <c r="AN245" s="94"/>
      <c r="AO245" s="1"/>
      <c r="AP245" s="1"/>
      <c r="AQ245" s="1"/>
      <c r="AR245" s="1"/>
      <c r="AS245" s="1"/>
      <c r="AT245" s="1"/>
      <c r="AU245" s="1"/>
    </row>
    <row r="246" ht="10.5" customHeight="1">
      <c r="A246" s="1"/>
      <c r="B246" s="2"/>
      <c r="C246" s="1"/>
      <c r="D246" s="1"/>
      <c r="E246" s="1"/>
      <c r="F246" s="9"/>
      <c r="G246" s="9"/>
      <c r="H246" s="9"/>
      <c r="I246" s="9"/>
      <c r="J246" s="93"/>
      <c r="K246" s="9"/>
      <c r="L246" s="9"/>
      <c r="M246" s="9"/>
      <c r="N246" s="9"/>
      <c r="O246" s="9"/>
      <c r="P246" s="9"/>
      <c r="Q246" s="93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1"/>
      <c r="AL246" s="1"/>
      <c r="AM246" s="1"/>
      <c r="AN246" s="94"/>
      <c r="AO246" s="1"/>
      <c r="AP246" s="1"/>
      <c r="AQ246" s="1"/>
      <c r="AR246" s="1"/>
      <c r="AS246" s="1"/>
      <c r="AT246" s="1"/>
      <c r="AU246" s="1"/>
    </row>
    <row r="247" ht="10.5" customHeight="1">
      <c r="A247" s="1"/>
      <c r="B247" s="2"/>
      <c r="C247" s="1"/>
      <c r="D247" s="1"/>
      <c r="E247" s="1"/>
      <c r="F247" s="9"/>
      <c r="G247" s="9"/>
      <c r="H247" s="9"/>
      <c r="I247" s="9"/>
      <c r="J247" s="93"/>
      <c r="K247" s="9"/>
      <c r="L247" s="9"/>
      <c r="M247" s="9"/>
      <c r="N247" s="9"/>
      <c r="O247" s="9"/>
      <c r="P247" s="9"/>
      <c r="Q247" s="93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"/>
      <c r="AL247" s="1"/>
      <c r="AM247" s="1"/>
      <c r="AN247" s="94"/>
      <c r="AO247" s="1"/>
      <c r="AP247" s="1"/>
      <c r="AQ247" s="1"/>
      <c r="AR247" s="1"/>
      <c r="AS247" s="1"/>
      <c r="AT247" s="1"/>
      <c r="AU247" s="1"/>
    </row>
    <row r="248" ht="10.5" customHeight="1">
      <c r="A248" s="1"/>
      <c r="B248" s="2"/>
      <c r="C248" s="1"/>
      <c r="D248" s="1"/>
      <c r="E248" s="1"/>
      <c r="F248" s="9"/>
      <c r="G248" s="9"/>
      <c r="H248" s="9"/>
      <c r="I248" s="9"/>
      <c r="J248" s="93"/>
      <c r="K248" s="9"/>
      <c r="L248" s="9"/>
      <c r="M248" s="9"/>
      <c r="N248" s="9"/>
      <c r="O248" s="9"/>
      <c r="P248" s="9"/>
      <c r="Q248" s="93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"/>
      <c r="AL248" s="1"/>
      <c r="AM248" s="1"/>
      <c r="AN248" s="94"/>
      <c r="AO248" s="1"/>
      <c r="AP248" s="1"/>
      <c r="AQ248" s="1"/>
      <c r="AR248" s="1"/>
      <c r="AS248" s="1"/>
      <c r="AT248" s="1"/>
      <c r="AU248" s="1"/>
    </row>
    <row r="249" ht="10.5" customHeight="1">
      <c r="A249" s="1"/>
      <c r="B249" s="2"/>
      <c r="C249" s="1"/>
      <c r="D249" s="1"/>
      <c r="E249" s="1"/>
      <c r="F249" s="9"/>
      <c r="G249" s="9"/>
      <c r="H249" s="9"/>
      <c r="I249" s="9"/>
      <c r="J249" s="93"/>
      <c r="K249" s="9"/>
      <c r="L249" s="9"/>
      <c r="M249" s="9"/>
      <c r="N249" s="9"/>
      <c r="O249" s="9"/>
      <c r="P249" s="9"/>
      <c r="Q249" s="93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1"/>
      <c r="AL249" s="1"/>
      <c r="AM249" s="1"/>
      <c r="AN249" s="94"/>
      <c r="AO249" s="1"/>
      <c r="AP249" s="1"/>
      <c r="AQ249" s="1"/>
      <c r="AR249" s="1"/>
      <c r="AS249" s="1"/>
      <c r="AT249" s="1"/>
      <c r="AU249" s="1"/>
    </row>
    <row r="250" ht="10.5" customHeight="1">
      <c r="A250" s="1"/>
      <c r="B250" s="2"/>
      <c r="C250" s="1"/>
      <c r="D250" s="1"/>
      <c r="E250" s="1"/>
      <c r="F250" s="9"/>
      <c r="G250" s="9"/>
      <c r="H250" s="9"/>
      <c r="I250" s="9"/>
      <c r="J250" s="93"/>
      <c r="K250" s="9"/>
      <c r="L250" s="9"/>
      <c r="M250" s="9"/>
      <c r="N250" s="9"/>
      <c r="O250" s="9"/>
      <c r="P250" s="9"/>
      <c r="Q250" s="93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1"/>
      <c r="AL250" s="1"/>
      <c r="AM250" s="1"/>
      <c r="AN250" s="94"/>
      <c r="AO250" s="1"/>
      <c r="AP250" s="1"/>
      <c r="AQ250" s="1"/>
      <c r="AR250" s="1"/>
      <c r="AS250" s="1"/>
      <c r="AT250" s="1"/>
      <c r="AU250" s="1"/>
    </row>
    <row r="251" ht="10.5" customHeight="1">
      <c r="A251" s="1"/>
      <c r="B251" s="2"/>
      <c r="C251" s="1"/>
      <c r="D251" s="1"/>
      <c r="E251" s="1"/>
      <c r="F251" s="9"/>
      <c r="G251" s="9"/>
      <c r="H251" s="9"/>
      <c r="I251" s="9"/>
      <c r="J251" s="93"/>
      <c r="K251" s="9"/>
      <c r="L251" s="9"/>
      <c r="M251" s="9"/>
      <c r="N251" s="9"/>
      <c r="O251" s="9"/>
      <c r="P251" s="9"/>
      <c r="Q251" s="93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"/>
      <c r="AL251" s="1"/>
      <c r="AM251" s="1"/>
      <c r="AN251" s="94"/>
      <c r="AO251" s="1"/>
      <c r="AP251" s="1"/>
      <c r="AQ251" s="1"/>
      <c r="AR251" s="1"/>
      <c r="AS251" s="1"/>
      <c r="AT251" s="1"/>
      <c r="AU251" s="1"/>
    </row>
    <row r="252" ht="10.5" customHeight="1">
      <c r="A252" s="1"/>
      <c r="B252" s="2"/>
      <c r="C252" s="1"/>
      <c r="D252" s="1"/>
      <c r="E252" s="1"/>
      <c r="F252" s="9"/>
      <c r="G252" s="9"/>
      <c r="H252" s="9"/>
      <c r="I252" s="9"/>
      <c r="J252" s="93"/>
      <c r="K252" s="9"/>
      <c r="L252" s="9"/>
      <c r="M252" s="9"/>
      <c r="N252" s="9"/>
      <c r="O252" s="9"/>
      <c r="P252" s="9"/>
      <c r="Q252" s="93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"/>
      <c r="AL252" s="1"/>
      <c r="AM252" s="1"/>
      <c r="AN252" s="94"/>
      <c r="AO252" s="1"/>
      <c r="AP252" s="1"/>
      <c r="AQ252" s="1"/>
      <c r="AR252" s="1"/>
      <c r="AS252" s="1"/>
      <c r="AT252" s="1"/>
      <c r="AU252" s="1"/>
    </row>
    <row r="253" ht="10.5" customHeight="1">
      <c r="A253" s="1"/>
      <c r="B253" s="2"/>
      <c r="C253" s="1"/>
      <c r="D253" s="1"/>
      <c r="E253" s="1"/>
      <c r="F253" s="9"/>
      <c r="G253" s="9"/>
      <c r="H253" s="9"/>
      <c r="I253" s="9"/>
      <c r="J253" s="93"/>
      <c r="K253" s="9"/>
      <c r="L253" s="9"/>
      <c r="M253" s="9"/>
      <c r="N253" s="9"/>
      <c r="O253" s="9"/>
      <c r="P253" s="9"/>
      <c r="Q253" s="93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1"/>
      <c r="AL253" s="1"/>
      <c r="AM253" s="1"/>
      <c r="AN253" s="94"/>
      <c r="AO253" s="1"/>
      <c r="AP253" s="1"/>
      <c r="AQ253" s="1"/>
      <c r="AR253" s="1"/>
      <c r="AS253" s="1"/>
      <c r="AT253" s="1"/>
      <c r="AU253" s="1"/>
    </row>
    <row r="254" ht="10.5" customHeight="1">
      <c r="A254" s="1"/>
      <c r="B254" s="2"/>
      <c r="C254" s="1"/>
      <c r="D254" s="1"/>
      <c r="E254" s="1"/>
      <c r="F254" s="9"/>
      <c r="G254" s="9"/>
      <c r="H254" s="9"/>
      <c r="I254" s="9"/>
      <c r="J254" s="93"/>
      <c r="K254" s="9"/>
      <c r="L254" s="9"/>
      <c r="M254" s="9"/>
      <c r="N254" s="9"/>
      <c r="O254" s="9"/>
      <c r="P254" s="9"/>
      <c r="Q254" s="93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1"/>
      <c r="AL254" s="1"/>
      <c r="AM254" s="1"/>
      <c r="AN254" s="94"/>
      <c r="AO254" s="1"/>
      <c r="AP254" s="1"/>
      <c r="AQ254" s="1"/>
      <c r="AR254" s="1"/>
      <c r="AS254" s="1"/>
      <c r="AT254" s="1"/>
      <c r="AU254" s="1"/>
    </row>
    <row r="255" ht="10.5" customHeight="1">
      <c r="A255" s="1"/>
      <c r="B255" s="2"/>
      <c r="C255" s="1"/>
      <c r="D255" s="1"/>
      <c r="E255" s="1"/>
      <c r="F255" s="9"/>
      <c r="G255" s="9"/>
      <c r="H255" s="9"/>
      <c r="I255" s="9"/>
      <c r="J255" s="93"/>
      <c r="K255" s="9"/>
      <c r="L255" s="9"/>
      <c r="M255" s="9"/>
      <c r="N255" s="9"/>
      <c r="O255" s="9"/>
      <c r="P255" s="9"/>
      <c r="Q255" s="93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1"/>
      <c r="AL255" s="1"/>
      <c r="AM255" s="1"/>
      <c r="AN255" s="94"/>
      <c r="AO255" s="1"/>
      <c r="AP255" s="1"/>
      <c r="AQ255" s="1"/>
      <c r="AR255" s="1"/>
      <c r="AS255" s="1"/>
      <c r="AT255" s="1"/>
      <c r="AU255" s="1"/>
    </row>
    <row r="256" ht="10.5" customHeight="1">
      <c r="A256" s="1"/>
      <c r="B256" s="2"/>
      <c r="C256" s="1"/>
      <c r="D256" s="1"/>
      <c r="E256" s="1"/>
      <c r="F256" s="9"/>
      <c r="G256" s="9"/>
      <c r="H256" s="9"/>
      <c r="I256" s="9"/>
      <c r="J256" s="93"/>
      <c r="K256" s="9"/>
      <c r="L256" s="9"/>
      <c r="M256" s="9"/>
      <c r="N256" s="9"/>
      <c r="O256" s="9"/>
      <c r="P256" s="9"/>
      <c r="Q256" s="93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1"/>
      <c r="AL256" s="1"/>
      <c r="AM256" s="1"/>
      <c r="AN256" s="94"/>
      <c r="AO256" s="1"/>
      <c r="AP256" s="1"/>
      <c r="AQ256" s="1"/>
      <c r="AR256" s="1"/>
      <c r="AS256" s="1"/>
      <c r="AT256" s="1"/>
      <c r="AU256" s="1"/>
    </row>
    <row r="257" ht="10.5" customHeight="1">
      <c r="A257" s="1"/>
      <c r="B257" s="2"/>
      <c r="C257" s="1"/>
      <c r="D257" s="1"/>
      <c r="E257" s="1"/>
      <c r="F257" s="9"/>
      <c r="G257" s="9"/>
      <c r="H257" s="9"/>
      <c r="I257" s="9"/>
      <c r="J257" s="93"/>
      <c r="K257" s="9"/>
      <c r="L257" s="9"/>
      <c r="M257" s="9"/>
      <c r="N257" s="9"/>
      <c r="O257" s="9"/>
      <c r="P257" s="9"/>
      <c r="Q257" s="93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"/>
      <c r="AL257" s="1"/>
      <c r="AM257" s="1"/>
      <c r="AN257" s="94"/>
      <c r="AO257" s="1"/>
      <c r="AP257" s="1"/>
      <c r="AQ257" s="1"/>
      <c r="AR257" s="1"/>
      <c r="AS257" s="1"/>
      <c r="AT257" s="1"/>
      <c r="AU257" s="1"/>
    </row>
    <row r="258" ht="10.5" customHeight="1">
      <c r="A258" s="1"/>
      <c r="B258" s="2"/>
      <c r="C258" s="1"/>
      <c r="D258" s="1"/>
      <c r="E258" s="1"/>
      <c r="F258" s="9"/>
      <c r="G258" s="9"/>
      <c r="H258" s="9"/>
      <c r="I258" s="9"/>
      <c r="J258" s="93"/>
      <c r="K258" s="9"/>
      <c r="L258" s="9"/>
      <c r="M258" s="9"/>
      <c r="N258" s="9"/>
      <c r="O258" s="9"/>
      <c r="P258" s="9"/>
      <c r="Q258" s="93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"/>
      <c r="AL258" s="1"/>
      <c r="AM258" s="1"/>
      <c r="AN258" s="94"/>
      <c r="AO258" s="1"/>
      <c r="AP258" s="1"/>
      <c r="AQ258" s="1"/>
      <c r="AR258" s="1"/>
      <c r="AS258" s="1"/>
      <c r="AT258" s="1"/>
      <c r="AU258" s="1"/>
    </row>
    <row r="259" ht="10.5" customHeight="1">
      <c r="A259" s="1"/>
      <c r="B259" s="2"/>
      <c r="C259" s="1"/>
      <c r="D259" s="1"/>
      <c r="E259" s="1"/>
      <c r="F259" s="9"/>
      <c r="G259" s="9"/>
      <c r="H259" s="9"/>
      <c r="I259" s="9"/>
      <c r="J259" s="93"/>
      <c r="K259" s="9"/>
      <c r="L259" s="9"/>
      <c r="M259" s="9"/>
      <c r="N259" s="9"/>
      <c r="O259" s="9"/>
      <c r="P259" s="9"/>
      <c r="Q259" s="93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1"/>
      <c r="AL259" s="1"/>
      <c r="AM259" s="1"/>
      <c r="AN259" s="94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2"/>
      <c r="C260" s="1"/>
      <c r="D260" s="1"/>
      <c r="E260" s="1"/>
      <c r="F260" s="9"/>
      <c r="G260" s="9"/>
      <c r="H260" s="9"/>
      <c r="I260" s="9"/>
      <c r="J260" s="93"/>
      <c r="K260" s="9"/>
      <c r="L260" s="9"/>
      <c r="M260" s="9"/>
      <c r="N260" s="9"/>
      <c r="O260" s="9"/>
      <c r="P260" s="9"/>
      <c r="Q260" s="93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"/>
      <c r="AL260" s="1"/>
      <c r="AM260" s="1"/>
      <c r="AN260" s="94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2"/>
      <c r="C261" s="1"/>
      <c r="D261" s="1"/>
      <c r="E261" s="1"/>
      <c r="F261" s="9"/>
      <c r="G261" s="9"/>
      <c r="H261" s="9"/>
      <c r="I261" s="9"/>
      <c r="J261" s="93"/>
      <c r="K261" s="9"/>
      <c r="L261" s="9"/>
      <c r="M261" s="9"/>
      <c r="N261" s="9"/>
      <c r="O261" s="9"/>
      <c r="P261" s="9"/>
      <c r="Q261" s="93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"/>
      <c r="AL261" s="1"/>
      <c r="AM261" s="1"/>
      <c r="AN261" s="94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2"/>
      <c r="C262" s="1"/>
      <c r="D262" s="1"/>
      <c r="E262" s="1"/>
      <c r="F262" s="9"/>
      <c r="G262" s="9"/>
      <c r="H262" s="9"/>
      <c r="I262" s="9"/>
      <c r="J262" s="93"/>
      <c r="K262" s="9"/>
      <c r="L262" s="9"/>
      <c r="M262" s="9"/>
      <c r="N262" s="9"/>
      <c r="O262" s="9"/>
      <c r="P262" s="9"/>
      <c r="Q262" s="93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"/>
      <c r="AL262" s="1"/>
      <c r="AM262" s="1"/>
      <c r="AN262" s="94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2"/>
      <c r="C263" s="1"/>
      <c r="D263" s="1"/>
      <c r="E263" s="1"/>
      <c r="F263" s="9"/>
      <c r="G263" s="9"/>
      <c r="H263" s="9"/>
      <c r="I263" s="9"/>
      <c r="J263" s="93"/>
      <c r="K263" s="9"/>
      <c r="L263" s="9"/>
      <c r="M263" s="9"/>
      <c r="N263" s="9"/>
      <c r="O263" s="9"/>
      <c r="P263" s="9"/>
      <c r="Q263" s="93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"/>
      <c r="AL263" s="1"/>
      <c r="AM263" s="1"/>
      <c r="AN263" s="94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2"/>
      <c r="C264" s="1"/>
      <c r="D264" s="1"/>
      <c r="E264" s="1"/>
      <c r="F264" s="9"/>
      <c r="G264" s="9"/>
      <c r="H264" s="9"/>
      <c r="I264" s="9"/>
      <c r="J264" s="93"/>
      <c r="K264" s="9"/>
      <c r="L264" s="9"/>
      <c r="M264" s="9"/>
      <c r="N264" s="9"/>
      <c r="O264" s="9"/>
      <c r="P264" s="9"/>
      <c r="Q264" s="93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"/>
      <c r="AL264" s="1"/>
      <c r="AM264" s="1"/>
      <c r="AN264" s="94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2"/>
      <c r="C265" s="1"/>
      <c r="D265" s="1"/>
      <c r="E265" s="1"/>
      <c r="F265" s="9"/>
      <c r="G265" s="9"/>
      <c r="H265" s="9"/>
      <c r="I265" s="9"/>
      <c r="J265" s="93"/>
      <c r="K265" s="9"/>
      <c r="L265" s="9"/>
      <c r="M265" s="9"/>
      <c r="N265" s="9"/>
      <c r="O265" s="9"/>
      <c r="P265" s="9"/>
      <c r="Q265" s="93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"/>
      <c r="AL265" s="1"/>
      <c r="AM265" s="1"/>
      <c r="AN265" s="94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2"/>
      <c r="C266" s="1"/>
      <c r="D266" s="1"/>
      <c r="E266" s="1"/>
      <c r="F266" s="9"/>
      <c r="G266" s="9"/>
      <c r="H266" s="9"/>
      <c r="I266" s="9"/>
      <c r="J266" s="93"/>
      <c r="K266" s="9"/>
      <c r="L266" s="9"/>
      <c r="M266" s="9"/>
      <c r="N266" s="9"/>
      <c r="O266" s="9"/>
      <c r="P266" s="9"/>
      <c r="Q266" s="93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"/>
      <c r="AL266" s="1"/>
      <c r="AM266" s="1"/>
      <c r="AN266" s="94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2"/>
      <c r="C267" s="1"/>
      <c r="D267" s="1"/>
      <c r="E267" s="1"/>
      <c r="F267" s="9"/>
      <c r="G267" s="9"/>
      <c r="H267" s="9"/>
      <c r="I267" s="9"/>
      <c r="J267" s="93"/>
      <c r="K267" s="9"/>
      <c r="L267" s="9"/>
      <c r="M267" s="9"/>
      <c r="N267" s="9"/>
      <c r="O267" s="9"/>
      <c r="P267" s="9"/>
      <c r="Q267" s="93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"/>
      <c r="AL267" s="1"/>
      <c r="AM267" s="1"/>
      <c r="AN267" s="94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2"/>
      <c r="C268" s="1"/>
      <c r="D268" s="1"/>
      <c r="E268" s="1"/>
      <c r="F268" s="9"/>
      <c r="G268" s="9"/>
      <c r="H268" s="9"/>
      <c r="I268" s="9"/>
      <c r="J268" s="93"/>
      <c r="K268" s="9"/>
      <c r="L268" s="9"/>
      <c r="M268" s="9"/>
      <c r="N268" s="9"/>
      <c r="O268" s="9"/>
      <c r="P268" s="9"/>
      <c r="Q268" s="93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"/>
      <c r="AL268" s="1"/>
      <c r="AM268" s="1"/>
      <c r="AN268" s="94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2"/>
      <c r="C269" s="1"/>
      <c r="D269" s="1"/>
      <c r="E269" s="1"/>
      <c r="F269" s="9"/>
      <c r="G269" s="9"/>
      <c r="H269" s="9"/>
      <c r="I269" s="9"/>
      <c r="J269" s="93"/>
      <c r="K269" s="9"/>
      <c r="L269" s="9"/>
      <c r="M269" s="9"/>
      <c r="N269" s="9"/>
      <c r="O269" s="9"/>
      <c r="P269" s="9"/>
      <c r="Q269" s="93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"/>
      <c r="AL269" s="1"/>
      <c r="AM269" s="1"/>
      <c r="AN269" s="94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2"/>
      <c r="C270" s="1"/>
      <c r="D270" s="1"/>
      <c r="E270" s="1"/>
      <c r="F270" s="9"/>
      <c r="G270" s="9"/>
      <c r="H270" s="9"/>
      <c r="I270" s="9"/>
      <c r="J270" s="93"/>
      <c r="K270" s="9"/>
      <c r="L270" s="9"/>
      <c r="M270" s="9"/>
      <c r="N270" s="9"/>
      <c r="O270" s="9"/>
      <c r="P270" s="9"/>
      <c r="Q270" s="93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"/>
      <c r="AL270" s="1"/>
      <c r="AM270" s="1"/>
      <c r="AN270" s="94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2"/>
      <c r="C271" s="1"/>
      <c r="D271" s="1"/>
      <c r="E271" s="1"/>
      <c r="F271" s="9"/>
      <c r="G271" s="9"/>
      <c r="H271" s="9"/>
      <c r="I271" s="9"/>
      <c r="J271" s="93"/>
      <c r="K271" s="9"/>
      <c r="L271" s="9"/>
      <c r="M271" s="9"/>
      <c r="N271" s="9"/>
      <c r="O271" s="9"/>
      <c r="P271" s="9"/>
      <c r="Q271" s="93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"/>
      <c r="AL271" s="1"/>
      <c r="AM271" s="1"/>
      <c r="AN271" s="94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2"/>
      <c r="C272" s="1"/>
      <c r="D272" s="1"/>
      <c r="E272" s="1"/>
      <c r="F272" s="9"/>
      <c r="G272" s="9"/>
      <c r="H272" s="9"/>
      <c r="I272" s="9"/>
      <c r="J272" s="93"/>
      <c r="K272" s="9"/>
      <c r="L272" s="9"/>
      <c r="M272" s="9"/>
      <c r="N272" s="9"/>
      <c r="O272" s="9"/>
      <c r="P272" s="9"/>
      <c r="Q272" s="93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"/>
      <c r="AL272" s="1"/>
      <c r="AM272" s="1"/>
      <c r="AN272" s="94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2"/>
      <c r="C273" s="1"/>
      <c r="D273" s="1"/>
      <c r="E273" s="1"/>
      <c r="F273" s="9"/>
      <c r="G273" s="9"/>
      <c r="H273" s="9"/>
      <c r="I273" s="9"/>
      <c r="J273" s="93"/>
      <c r="K273" s="9"/>
      <c r="L273" s="9"/>
      <c r="M273" s="9"/>
      <c r="N273" s="9"/>
      <c r="O273" s="9"/>
      <c r="P273" s="9"/>
      <c r="Q273" s="93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"/>
      <c r="AL273" s="1"/>
      <c r="AM273" s="1"/>
      <c r="AN273" s="94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2"/>
      <c r="C274" s="1"/>
      <c r="D274" s="1"/>
      <c r="E274" s="1"/>
      <c r="F274" s="9"/>
      <c r="G274" s="9"/>
      <c r="H274" s="9"/>
      <c r="I274" s="9"/>
      <c r="J274" s="93"/>
      <c r="K274" s="9"/>
      <c r="L274" s="9"/>
      <c r="M274" s="9"/>
      <c r="N274" s="9"/>
      <c r="O274" s="9"/>
      <c r="P274" s="9"/>
      <c r="Q274" s="93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"/>
      <c r="AL274" s="1"/>
      <c r="AM274" s="1"/>
      <c r="AN274" s="94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2"/>
      <c r="C275" s="1"/>
      <c r="D275" s="1"/>
      <c r="E275" s="1"/>
      <c r="F275" s="9"/>
      <c r="G275" s="9"/>
      <c r="H275" s="9"/>
      <c r="I275" s="9"/>
      <c r="J275" s="93"/>
      <c r="K275" s="9"/>
      <c r="L275" s="9"/>
      <c r="M275" s="9"/>
      <c r="N275" s="9"/>
      <c r="O275" s="9"/>
      <c r="P275" s="9"/>
      <c r="Q275" s="93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"/>
      <c r="AL275" s="1"/>
      <c r="AM275" s="1"/>
      <c r="AN275" s="94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2"/>
      <c r="C276" s="1"/>
      <c r="D276" s="1"/>
      <c r="E276" s="1"/>
      <c r="F276" s="9"/>
      <c r="G276" s="9"/>
      <c r="H276" s="9"/>
      <c r="I276" s="9"/>
      <c r="J276" s="93"/>
      <c r="K276" s="9"/>
      <c r="L276" s="9"/>
      <c r="M276" s="9"/>
      <c r="N276" s="9"/>
      <c r="O276" s="9"/>
      <c r="P276" s="9"/>
      <c r="Q276" s="93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"/>
      <c r="AL276" s="1"/>
      <c r="AM276" s="1"/>
      <c r="AN276" s="94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2"/>
      <c r="C277" s="1"/>
      <c r="D277" s="1"/>
      <c r="E277" s="1"/>
      <c r="F277" s="9"/>
      <c r="G277" s="9"/>
      <c r="H277" s="9"/>
      <c r="I277" s="9"/>
      <c r="J277" s="93"/>
      <c r="K277" s="9"/>
      <c r="L277" s="9"/>
      <c r="M277" s="9"/>
      <c r="N277" s="9"/>
      <c r="O277" s="9"/>
      <c r="P277" s="9"/>
      <c r="Q277" s="93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"/>
      <c r="AL277" s="1"/>
      <c r="AM277" s="1"/>
      <c r="AN277" s="94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2"/>
      <c r="C278" s="1"/>
      <c r="D278" s="1"/>
      <c r="E278" s="1"/>
      <c r="F278" s="9"/>
      <c r="G278" s="9"/>
      <c r="H278" s="9"/>
      <c r="I278" s="9"/>
      <c r="J278" s="93"/>
      <c r="K278" s="9"/>
      <c r="L278" s="9"/>
      <c r="M278" s="9"/>
      <c r="N278" s="9"/>
      <c r="O278" s="9"/>
      <c r="P278" s="9"/>
      <c r="Q278" s="93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"/>
      <c r="AL278" s="1"/>
      <c r="AM278" s="1"/>
      <c r="AN278" s="94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2"/>
      <c r="C279" s="1"/>
      <c r="D279" s="1"/>
      <c r="E279" s="1"/>
      <c r="F279" s="9"/>
      <c r="G279" s="9"/>
      <c r="H279" s="9"/>
      <c r="I279" s="9"/>
      <c r="J279" s="93"/>
      <c r="K279" s="9"/>
      <c r="L279" s="9"/>
      <c r="M279" s="9"/>
      <c r="N279" s="9"/>
      <c r="O279" s="9"/>
      <c r="P279" s="9"/>
      <c r="Q279" s="93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1"/>
      <c r="AL279" s="1"/>
      <c r="AM279" s="1"/>
      <c r="AN279" s="94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2"/>
      <c r="C280" s="1"/>
      <c r="D280" s="1"/>
      <c r="E280" s="1"/>
      <c r="F280" s="9"/>
      <c r="G280" s="9"/>
      <c r="H280" s="9"/>
      <c r="I280" s="9"/>
      <c r="J280" s="93"/>
      <c r="K280" s="9"/>
      <c r="L280" s="9"/>
      <c r="M280" s="9"/>
      <c r="N280" s="9"/>
      <c r="O280" s="9"/>
      <c r="P280" s="9"/>
      <c r="Q280" s="93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"/>
      <c r="AL280" s="1"/>
      <c r="AM280" s="1"/>
      <c r="AN280" s="94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2"/>
      <c r="C281" s="1"/>
      <c r="D281" s="1"/>
      <c r="E281" s="1"/>
      <c r="F281" s="9"/>
      <c r="G281" s="9"/>
      <c r="H281" s="9"/>
      <c r="I281" s="9"/>
      <c r="J281" s="93"/>
      <c r="K281" s="9"/>
      <c r="L281" s="9"/>
      <c r="M281" s="9"/>
      <c r="N281" s="9"/>
      <c r="O281" s="9"/>
      <c r="P281" s="9"/>
      <c r="Q281" s="93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"/>
      <c r="AL281" s="1"/>
      <c r="AM281" s="1"/>
      <c r="AN281" s="94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2"/>
      <c r="C282" s="1"/>
      <c r="D282" s="1"/>
      <c r="E282" s="1"/>
      <c r="F282" s="9"/>
      <c r="G282" s="9"/>
      <c r="H282" s="9"/>
      <c r="I282" s="9"/>
      <c r="J282" s="93"/>
      <c r="K282" s="9"/>
      <c r="L282" s="9"/>
      <c r="M282" s="9"/>
      <c r="N282" s="9"/>
      <c r="O282" s="9"/>
      <c r="P282" s="9"/>
      <c r="Q282" s="93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"/>
      <c r="AL282" s="1"/>
      <c r="AM282" s="1"/>
      <c r="AN282" s="94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2"/>
      <c r="C283" s="1"/>
      <c r="D283" s="1"/>
      <c r="E283" s="1"/>
      <c r="F283" s="9"/>
      <c r="G283" s="9"/>
      <c r="H283" s="9"/>
      <c r="I283" s="9"/>
      <c r="J283" s="93"/>
      <c r="K283" s="9"/>
      <c r="L283" s="9"/>
      <c r="M283" s="9"/>
      <c r="N283" s="9"/>
      <c r="O283" s="9"/>
      <c r="P283" s="9"/>
      <c r="Q283" s="93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1"/>
      <c r="AL283" s="1"/>
      <c r="AM283" s="1"/>
      <c r="AN283" s="94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2"/>
      <c r="C284" s="1"/>
      <c r="D284" s="1"/>
      <c r="E284" s="1"/>
      <c r="F284" s="9"/>
      <c r="G284" s="9"/>
      <c r="H284" s="9"/>
      <c r="I284" s="9"/>
      <c r="J284" s="93"/>
      <c r="K284" s="9"/>
      <c r="L284" s="9"/>
      <c r="M284" s="9"/>
      <c r="N284" s="9"/>
      <c r="O284" s="9"/>
      <c r="P284" s="9"/>
      <c r="Q284" s="93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"/>
      <c r="AL284" s="1"/>
      <c r="AM284" s="1"/>
      <c r="AN284" s="94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2"/>
      <c r="C285" s="1"/>
      <c r="D285" s="1"/>
      <c r="E285" s="1"/>
      <c r="F285" s="9"/>
      <c r="G285" s="9"/>
      <c r="H285" s="9"/>
      <c r="I285" s="9"/>
      <c r="J285" s="93"/>
      <c r="K285" s="9"/>
      <c r="L285" s="9"/>
      <c r="M285" s="9"/>
      <c r="N285" s="9"/>
      <c r="O285" s="9"/>
      <c r="P285" s="9"/>
      <c r="Q285" s="93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"/>
      <c r="AL285" s="1"/>
      <c r="AM285" s="1"/>
      <c r="AN285" s="94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2"/>
      <c r="C286" s="1"/>
      <c r="D286" s="1"/>
      <c r="E286" s="1"/>
      <c r="F286" s="9"/>
      <c r="G286" s="9"/>
      <c r="H286" s="9"/>
      <c r="I286" s="9"/>
      <c r="J286" s="93"/>
      <c r="K286" s="9"/>
      <c r="L286" s="9"/>
      <c r="M286" s="9"/>
      <c r="N286" s="9"/>
      <c r="O286" s="9"/>
      <c r="P286" s="9"/>
      <c r="Q286" s="93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"/>
      <c r="AL286" s="1"/>
      <c r="AM286" s="1"/>
      <c r="AN286" s="94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2"/>
      <c r="C287" s="1"/>
      <c r="D287" s="1"/>
      <c r="E287" s="1"/>
      <c r="F287" s="9"/>
      <c r="G287" s="9"/>
      <c r="H287" s="9"/>
      <c r="I287" s="9"/>
      <c r="J287" s="93"/>
      <c r="K287" s="9"/>
      <c r="L287" s="9"/>
      <c r="M287" s="9"/>
      <c r="N287" s="9"/>
      <c r="O287" s="9"/>
      <c r="P287" s="9"/>
      <c r="Q287" s="93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1"/>
      <c r="AL287" s="1"/>
      <c r="AM287" s="1"/>
      <c r="AN287" s="94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2"/>
      <c r="C288" s="1"/>
      <c r="D288" s="1"/>
      <c r="E288" s="1"/>
      <c r="F288" s="9"/>
      <c r="G288" s="9"/>
      <c r="H288" s="9"/>
      <c r="I288" s="9"/>
      <c r="J288" s="93"/>
      <c r="K288" s="9"/>
      <c r="L288" s="9"/>
      <c r="M288" s="9"/>
      <c r="N288" s="9"/>
      <c r="O288" s="9"/>
      <c r="P288" s="9"/>
      <c r="Q288" s="93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"/>
      <c r="AL288" s="1"/>
      <c r="AM288" s="1"/>
      <c r="AN288" s="94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2"/>
      <c r="C289" s="1"/>
      <c r="D289" s="1"/>
      <c r="E289" s="1"/>
      <c r="F289" s="9"/>
      <c r="G289" s="9"/>
      <c r="H289" s="9"/>
      <c r="I289" s="9"/>
      <c r="J289" s="93"/>
      <c r="K289" s="9"/>
      <c r="L289" s="9"/>
      <c r="M289" s="9"/>
      <c r="N289" s="9"/>
      <c r="O289" s="9"/>
      <c r="P289" s="9"/>
      <c r="Q289" s="93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"/>
      <c r="AL289" s="1"/>
      <c r="AM289" s="1"/>
      <c r="AN289" s="94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2"/>
      <c r="C290" s="1"/>
      <c r="D290" s="1"/>
      <c r="E290" s="1"/>
      <c r="F290" s="9"/>
      <c r="G290" s="9"/>
      <c r="H290" s="9"/>
      <c r="I290" s="9"/>
      <c r="J290" s="93"/>
      <c r="K290" s="9"/>
      <c r="L290" s="9"/>
      <c r="M290" s="9"/>
      <c r="N290" s="9"/>
      <c r="O290" s="9"/>
      <c r="P290" s="9"/>
      <c r="Q290" s="93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"/>
      <c r="AL290" s="1"/>
      <c r="AM290" s="1"/>
      <c r="AN290" s="94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2"/>
      <c r="C291" s="1"/>
      <c r="D291" s="1"/>
      <c r="E291" s="1"/>
      <c r="F291" s="9"/>
      <c r="G291" s="9"/>
      <c r="H291" s="9"/>
      <c r="I291" s="9"/>
      <c r="J291" s="93"/>
      <c r="K291" s="9"/>
      <c r="L291" s="9"/>
      <c r="M291" s="9"/>
      <c r="N291" s="9"/>
      <c r="O291" s="9"/>
      <c r="P291" s="9"/>
      <c r="Q291" s="93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1"/>
      <c r="AL291" s="1"/>
      <c r="AM291" s="1"/>
      <c r="AN291" s="94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2"/>
      <c r="C292" s="1"/>
      <c r="D292" s="1"/>
      <c r="E292" s="1"/>
      <c r="F292" s="9"/>
      <c r="G292" s="9"/>
      <c r="H292" s="9"/>
      <c r="I292" s="9"/>
      <c r="J292" s="93"/>
      <c r="K292" s="9"/>
      <c r="L292" s="9"/>
      <c r="M292" s="9"/>
      <c r="N292" s="9"/>
      <c r="O292" s="9"/>
      <c r="P292" s="9"/>
      <c r="Q292" s="93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"/>
      <c r="AL292" s="1"/>
      <c r="AM292" s="1"/>
      <c r="AN292" s="94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2"/>
      <c r="C293" s="1"/>
      <c r="D293" s="1"/>
      <c r="E293" s="1"/>
      <c r="F293" s="9"/>
      <c r="G293" s="9"/>
      <c r="H293" s="9"/>
      <c r="I293" s="9"/>
      <c r="J293" s="93"/>
      <c r="K293" s="9"/>
      <c r="L293" s="9"/>
      <c r="M293" s="9"/>
      <c r="N293" s="9"/>
      <c r="O293" s="9"/>
      <c r="P293" s="9"/>
      <c r="Q293" s="93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"/>
      <c r="AL293" s="1"/>
      <c r="AM293" s="1"/>
      <c r="AN293" s="94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2"/>
      <c r="C294" s="1"/>
      <c r="D294" s="1"/>
      <c r="E294" s="1"/>
      <c r="F294" s="9"/>
      <c r="G294" s="9"/>
      <c r="H294" s="9"/>
      <c r="I294" s="9"/>
      <c r="J294" s="93"/>
      <c r="K294" s="9"/>
      <c r="L294" s="9"/>
      <c r="M294" s="9"/>
      <c r="N294" s="9"/>
      <c r="O294" s="9"/>
      <c r="P294" s="9"/>
      <c r="Q294" s="93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"/>
      <c r="AL294" s="1"/>
      <c r="AM294" s="1"/>
      <c r="AN294" s="94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2"/>
      <c r="C295" s="1"/>
      <c r="D295" s="1"/>
      <c r="E295" s="1"/>
      <c r="F295" s="9"/>
      <c r="G295" s="9"/>
      <c r="H295" s="9"/>
      <c r="I295" s="9"/>
      <c r="J295" s="93"/>
      <c r="K295" s="9"/>
      <c r="L295" s="9"/>
      <c r="M295" s="9"/>
      <c r="N295" s="9"/>
      <c r="O295" s="9"/>
      <c r="P295" s="9"/>
      <c r="Q295" s="93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1"/>
      <c r="AL295" s="1"/>
      <c r="AM295" s="1"/>
      <c r="AN295" s="94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2"/>
      <c r="C296" s="1"/>
      <c r="D296" s="1"/>
      <c r="E296" s="1"/>
      <c r="F296" s="9"/>
      <c r="G296" s="9"/>
      <c r="H296" s="9"/>
      <c r="I296" s="9"/>
      <c r="J296" s="93"/>
      <c r="K296" s="9"/>
      <c r="L296" s="9"/>
      <c r="M296" s="9"/>
      <c r="N296" s="9"/>
      <c r="O296" s="9"/>
      <c r="P296" s="9"/>
      <c r="Q296" s="93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1"/>
      <c r="AL296" s="1"/>
      <c r="AM296" s="1"/>
      <c r="AN296" s="94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2"/>
      <c r="C297" s="1"/>
      <c r="D297" s="1"/>
      <c r="E297" s="1"/>
      <c r="F297" s="9"/>
      <c r="G297" s="9"/>
      <c r="H297" s="9"/>
      <c r="I297" s="9"/>
      <c r="J297" s="93"/>
      <c r="K297" s="9"/>
      <c r="L297" s="9"/>
      <c r="M297" s="9"/>
      <c r="N297" s="9"/>
      <c r="O297" s="9"/>
      <c r="P297" s="9"/>
      <c r="Q297" s="93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1"/>
      <c r="AL297" s="1"/>
      <c r="AM297" s="1"/>
      <c r="AN297" s="94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2"/>
      <c r="C298" s="1"/>
      <c r="D298" s="1"/>
      <c r="E298" s="1"/>
      <c r="F298" s="9"/>
      <c r="G298" s="9"/>
      <c r="H298" s="9"/>
      <c r="I298" s="9"/>
      <c r="J298" s="93"/>
      <c r="K298" s="9"/>
      <c r="L298" s="9"/>
      <c r="M298" s="9"/>
      <c r="N298" s="9"/>
      <c r="O298" s="9"/>
      <c r="P298" s="9"/>
      <c r="Q298" s="93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1"/>
      <c r="AL298" s="1"/>
      <c r="AM298" s="1"/>
      <c r="AN298" s="94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2"/>
      <c r="C299" s="1"/>
      <c r="D299" s="1"/>
      <c r="E299" s="1"/>
      <c r="F299" s="9"/>
      <c r="G299" s="9"/>
      <c r="H299" s="9"/>
      <c r="I299" s="9"/>
      <c r="J299" s="93"/>
      <c r="K299" s="9"/>
      <c r="L299" s="9"/>
      <c r="M299" s="9"/>
      <c r="N299" s="9"/>
      <c r="O299" s="9"/>
      <c r="P299" s="9"/>
      <c r="Q299" s="93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1"/>
      <c r="AL299" s="1"/>
      <c r="AM299" s="1"/>
      <c r="AN299" s="94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2"/>
      <c r="C300" s="1"/>
      <c r="D300" s="1"/>
      <c r="E300" s="1"/>
      <c r="F300" s="9"/>
      <c r="G300" s="9"/>
      <c r="H300" s="9"/>
      <c r="I300" s="9"/>
      <c r="J300" s="93"/>
      <c r="K300" s="9"/>
      <c r="L300" s="9"/>
      <c r="M300" s="9"/>
      <c r="N300" s="9"/>
      <c r="O300" s="9"/>
      <c r="P300" s="9"/>
      <c r="Q300" s="93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1"/>
      <c r="AL300" s="1"/>
      <c r="AM300" s="1"/>
      <c r="AN300" s="94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2"/>
      <c r="C301" s="1"/>
      <c r="D301" s="1"/>
      <c r="E301" s="1"/>
      <c r="F301" s="9"/>
      <c r="G301" s="9"/>
      <c r="H301" s="9"/>
      <c r="I301" s="9"/>
      <c r="J301" s="93"/>
      <c r="K301" s="9"/>
      <c r="L301" s="9"/>
      <c r="M301" s="9"/>
      <c r="N301" s="9"/>
      <c r="O301" s="9"/>
      <c r="P301" s="9"/>
      <c r="Q301" s="93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"/>
      <c r="AL301" s="1"/>
      <c r="AM301" s="1"/>
      <c r="AN301" s="94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2"/>
      <c r="C302" s="1"/>
      <c r="D302" s="1"/>
      <c r="E302" s="1"/>
      <c r="F302" s="9"/>
      <c r="G302" s="9"/>
      <c r="H302" s="9"/>
      <c r="I302" s="9"/>
      <c r="J302" s="93"/>
      <c r="K302" s="9"/>
      <c r="L302" s="9"/>
      <c r="M302" s="9"/>
      <c r="N302" s="9"/>
      <c r="O302" s="9"/>
      <c r="P302" s="9"/>
      <c r="Q302" s="93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"/>
      <c r="AL302" s="1"/>
      <c r="AM302" s="1"/>
      <c r="AN302" s="94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2"/>
      <c r="C303" s="1"/>
      <c r="D303" s="1"/>
      <c r="E303" s="1"/>
      <c r="F303" s="9"/>
      <c r="G303" s="9"/>
      <c r="H303" s="9"/>
      <c r="I303" s="9"/>
      <c r="J303" s="93"/>
      <c r="K303" s="9"/>
      <c r="L303" s="9"/>
      <c r="M303" s="9"/>
      <c r="N303" s="9"/>
      <c r="O303" s="9"/>
      <c r="P303" s="9"/>
      <c r="Q303" s="93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1"/>
      <c r="AL303" s="1"/>
      <c r="AM303" s="1"/>
      <c r="AN303" s="94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2"/>
      <c r="C304" s="1"/>
      <c r="D304" s="1"/>
      <c r="E304" s="1"/>
      <c r="F304" s="9"/>
      <c r="G304" s="9"/>
      <c r="H304" s="9"/>
      <c r="I304" s="9"/>
      <c r="J304" s="93"/>
      <c r="K304" s="9"/>
      <c r="L304" s="9"/>
      <c r="M304" s="9"/>
      <c r="N304" s="9"/>
      <c r="O304" s="9"/>
      <c r="P304" s="9"/>
      <c r="Q304" s="93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1"/>
      <c r="AL304" s="1"/>
      <c r="AM304" s="1"/>
      <c r="AN304" s="94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2"/>
      <c r="C305" s="1"/>
      <c r="D305" s="1"/>
      <c r="E305" s="1"/>
      <c r="F305" s="9"/>
      <c r="G305" s="9"/>
      <c r="H305" s="9"/>
      <c r="I305" s="9"/>
      <c r="J305" s="93"/>
      <c r="K305" s="9"/>
      <c r="L305" s="9"/>
      <c r="M305" s="9"/>
      <c r="N305" s="9"/>
      <c r="O305" s="9"/>
      <c r="P305" s="9"/>
      <c r="Q305" s="93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1"/>
      <c r="AL305" s="1"/>
      <c r="AM305" s="1"/>
      <c r="AN305" s="94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2"/>
      <c r="C306" s="1"/>
      <c r="D306" s="1"/>
      <c r="E306" s="1"/>
      <c r="F306" s="9"/>
      <c r="G306" s="9"/>
      <c r="H306" s="9"/>
      <c r="I306" s="9"/>
      <c r="J306" s="93"/>
      <c r="K306" s="9"/>
      <c r="L306" s="9"/>
      <c r="M306" s="9"/>
      <c r="N306" s="9"/>
      <c r="O306" s="9"/>
      <c r="P306" s="9"/>
      <c r="Q306" s="93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"/>
      <c r="AL306" s="1"/>
      <c r="AM306" s="1"/>
      <c r="AN306" s="94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2"/>
      <c r="C307" s="1"/>
      <c r="D307" s="1"/>
      <c r="E307" s="1"/>
      <c r="F307" s="9"/>
      <c r="G307" s="9"/>
      <c r="H307" s="9"/>
      <c r="I307" s="9"/>
      <c r="J307" s="93"/>
      <c r="K307" s="9"/>
      <c r="L307" s="9"/>
      <c r="M307" s="9"/>
      <c r="N307" s="9"/>
      <c r="O307" s="9"/>
      <c r="P307" s="9"/>
      <c r="Q307" s="93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"/>
      <c r="AL307" s="1"/>
      <c r="AM307" s="1"/>
      <c r="AN307" s="94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2"/>
      <c r="C308" s="1"/>
      <c r="D308" s="1"/>
      <c r="E308" s="1"/>
      <c r="F308" s="9"/>
      <c r="G308" s="9"/>
      <c r="H308" s="9"/>
      <c r="I308" s="9"/>
      <c r="J308" s="93"/>
      <c r="K308" s="9"/>
      <c r="L308" s="9"/>
      <c r="M308" s="9"/>
      <c r="N308" s="9"/>
      <c r="O308" s="9"/>
      <c r="P308" s="9"/>
      <c r="Q308" s="93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"/>
      <c r="AL308" s="1"/>
      <c r="AM308" s="1"/>
      <c r="AN308" s="94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2"/>
      <c r="C309" s="1"/>
      <c r="D309" s="1"/>
      <c r="E309" s="1"/>
      <c r="F309" s="9"/>
      <c r="G309" s="9"/>
      <c r="H309" s="9"/>
      <c r="I309" s="9"/>
      <c r="J309" s="93"/>
      <c r="K309" s="9"/>
      <c r="L309" s="9"/>
      <c r="M309" s="9"/>
      <c r="N309" s="9"/>
      <c r="O309" s="9"/>
      <c r="P309" s="9"/>
      <c r="Q309" s="93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1"/>
      <c r="AL309" s="1"/>
      <c r="AM309" s="1"/>
      <c r="AN309" s="94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2"/>
      <c r="C310" s="1"/>
      <c r="D310" s="1"/>
      <c r="E310" s="1"/>
      <c r="F310" s="9"/>
      <c r="G310" s="9"/>
      <c r="H310" s="9"/>
      <c r="I310" s="9"/>
      <c r="J310" s="93"/>
      <c r="K310" s="9"/>
      <c r="L310" s="9"/>
      <c r="M310" s="9"/>
      <c r="N310" s="9"/>
      <c r="O310" s="9"/>
      <c r="P310" s="9"/>
      <c r="Q310" s="93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1"/>
      <c r="AL310" s="1"/>
      <c r="AM310" s="1"/>
      <c r="AN310" s="94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2"/>
      <c r="C311" s="1"/>
      <c r="D311" s="1"/>
      <c r="E311" s="1"/>
      <c r="F311" s="9"/>
      <c r="G311" s="9"/>
      <c r="H311" s="9"/>
      <c r="I311" s="9"/>
      <c r="J311" s="93"/>
      <c r="K311" s="9"/>
      <c r="L311" s="9"/>
      <c r="M311" s="9"/>
      <c r="N311" s="9"/>
      <c r="O311" s="9"/>
      <c r="P311" s="9"/>
      <c r="Q311" s="93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1"/>
      <c r="AL311" s="1"/>
      <c r="AM311" s="1"/>
      <c r="AN311" s="94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2"/>
      <c r="C312" s="1"/>
      <c r="D312" s="1"/>
      <c r="E312" s="1"/>
      <c r="F312" s="9"/>
      <c r="G312" s="9"/>
      <c r="H312" s="9"/>
      <c r="I312" s="9"/>
      <c r="J312" s="93"/>
      <c r="K312" s="9"/>
      <c r="L312" s="9"/>
      <c r="M312" s="9"/>
      <c r="N312" s="9"/>
      <c r="O312" s="9"/>
      <c r="P312" s="9"/>
      <c r="Q312" s="93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"/>
      <c r="AL312" s="1"/>
      <c r="AM312" s="1"/>
      <c r="AN312" s="94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2"/>
      <c r="C313" s="1"/>
      <c r="D313" s="1"/>
      <c r="E313" s="1"/>
      <c r="F313" s="9"/>
      <c r="G313" s="9"/>
      <c r="H313" s="9"/>
      <c r="I313" s="9"/>
      <c r="J313" s="93"/>
      <c r="K313" s="9"/>
      <c r="L313" s="9"/>
      <c r="M313" s="9"/>
      <c r="N313" s="9"/>
      <c r="O313" s="9"/>
      <c r="P313" s="9"/>
      <c r="Q313" s="93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"/>
      <c r="AL313" s="1"/>
      <c r="AM313" s="1"/>
      <c r="AN313" s="94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2"/>
      <c r="C314" s="1"/>
      <c r="D314" s="1"/>
      <c r="E314" s="1"/>
      <c r="F314" s="9"/>
      <c r="G314" s="9"/>
      <c r="H314" s="9"/>
      <c r="I314" s="9"/>
      <c r="J314" s="93"/>
      <c r="K314" s="9"/>
      <c r="L314" s="9"/>
      <c r="M314" s="9"/>
      <c r="N314" s="9"/>
      <c r="O314" s="9"/>
      <c r="P314" s="9"/>
      <c r="Q314" s="93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"/>
      <c r="AL314" s="1"/>
      <c r="AM314" s="1"/>
      <c r="AN314" s="94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2"/>
      <c r="C315" s="1"/>
      <c r="D315" s="1"/>
      <c r="E315" s="1"/>
      <c r="F315" s="9"/>
      <c r="G315" s="9"/>
      <c r="H315" s="9"/>
      <c r="I315" s="9"/>
      <c r="J315" s="93"/>
      <c r="K315" s="9"/>
      <c r="L315" s="9"/>
      <c r="M315" s="9"/>
      <c r="N315" s="9"/>
      <c r="O315" s="9"/>
      <c r="P315" s="9"/>
      <c r="Q315" s="93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1"/>
      <c r="AL315" s="1"/>
      <c r="AM315" s="1"/>
      <c r="AN315" s="94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2"/>
      <c r="C316" s="1"/>
      <c r="D316" s="1"/>
      <c r="E316" s="1"/>
      <c r="F316" s="9"/>
      <c r="G316" s="9"/>
      <c r="H316" s="9"/>
      <c r="I316" s="9"/>
      <c r="J316" s="93"/>
      <c r="K316" s="9"/>
      <c r="L316" s="9"/>
      <c r="M316" s="9"/>
      <c r="N316" s="9"/>
      <c r="O316" s="9"/>
      <c r="P316" s="9"/>
      <c r="Q316" s="93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1"/>
      <c r="AL316" s="1"/>
      <c r="AM316" s="1"/>
      <c r="AN316" s="94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2"/>
      <c r="C317" s="1"/>
      <c r="D317" s="1"/>
      <c r="E317" s="1"/>
      <c r="F317" s="9"/>
      <c r="G317" s="9"/>
      <c r="H317" s="9"/>
      <c r="I317" s="9"/>
      <c r="J317" s="93"/>
      <c r="K317" s="9"/>
      <c r="L317" s="9"/>
      <c r="M317" s="9"/>
      <c r="N317" s="9"/>
      <c r="O317" s="9"/>
      <c r="P317" s="9"/>
      <c r="Q317" s="93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1"/>
      <c r="AL317" s="1"/>
      <c r="AM317" s="1"/>
      <c r="AN317" s="94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2"/>
      <c r="C318" s="1"/>
      <c r="D318" s="1"/>
      <c r="E318" s="1"/>
      <c r="F318" s="9"/>
      <c r="G318" s="9"/>
      <c r="H318" s="9"/>
      <c r="I318" s="9"/>
      <c r="J318" s="93"/>
      <c r="K318" s="9"/>
      <c r="L318" s="9"/>
      <c r="M318" s="9"/>
      <c r="N318" s="9"/>
      <c r="O318" s="9"/>
      <c r="P318" s="9"/>
      <c r="Q318" s="93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"/>
      <c r="AL318" s="1"/>
      <c r="AM318" s="1"/>
      <c r="AN318" s="94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2"/>
      <c r="C319" s="1"/>
      <c r="D319" s="1"/>
      <c r="E319" s="1"/>
      <c r="F319" s="9"/>
      <c r="G319" s="9"/>
      <c r="H319" s="9"/>
      <c r="I319" s="9"/>
      <c r="J319" s="93"/>
      <c r="K319" s="9"/>
      <c r="L319" s="9"/>
      <c r="M319" s="9"/>
      <c r="N319" s="9"/>
      <c r="O319" s="9"/>
      <c r="P319" s="9"/>
      <c r="Q319" s="93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"/>
      <c r="AL319" s="1"/>
      <c r="AM319" s="1"/>
      <c r="AN319" s="94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2"/>
      <c r="C320" s="1"/>
      <c r="D320" s="1"/>
      <c r="E320" s="1"/>
      <c r="F320" s="9"/>
      <c r="G320" s="9"/>
      <c r="H320" s="9"/>
      <c r="I320" s="9"/>
      <c r="J320" s="93"/>
      <c r="K320" s="9"/>
      <c r="L320" s="9"/>
      <c r="M320" s="9"/>
      <c r="N320" s="9"/>
      <c r="O320" s="9"/>
      <c r="P320" s="9"/>
      <c r="Q320" s="93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"/>
      <c r="AL320" s="1"/>
      <c r="AM320" s="1"/>
      <c r="AN320" s="94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2"/>
      <c r="C321" s="1"/>
      <c r="D321" s="1"/>
      <c r="E321" s="1"/>
      <c r="F321" s="9"/>
      <c r="G321" s="9"/>
      <c r="H321" s="9"/>
      <c r="I321" s="9"/>
      <c r="J321" s="93"/>
      <c r="K321" s="9"/>
      <c r="L321" s="9"/>
      <c r="M321" s="9"/>
      <c r="N321" s="9"/>
      <c r="O321" s="9"/>
      <c r="P321" s="9"/>
      <c r="Q321" s="93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1"/>
      <c r="AL321" s="1"/>
      <c r="AM321" s="1"/>
      <c r="AN321" s="94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2"/>
      <c r="C322" s="1"/>
      <c r="D322" s="1"/>
      <c r="E322" s="1"/>
      <c r="F322" s="9"/>
      <c r="G322" s="9"/>
      <c r="H322" s="9"/>
      <c r="I322" s="9"/>
      <c r="J322" s="93"/>
      <c r="K322" s="9"/>
      <c r="L322" s="9"/>
      <c r="M322" s="9"/>
      <c r="N322" s="9"/>
      <c r="O322" s="9"/>
      <c r="P322" s="9"/>
      <c r="Q322" s="93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1"/>
      <c r="AL322" s="1"/>
      <c r="AM322" s="1"/>
      <c r="AN322" s="94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2"/>
      <c r="C323" s="1"/>
      <c r="D323" s="1"/>
      <c r="E323" s="1"/>
      <c r="F323" s="9"/>
      <c r="G323" s="9"/>
      <c r="H323" s="9"/>
      <c r="I323" s="9"/>
      <c r="J323" s="93"/>
      <c r="K323" s="9"/>
      <c r="L323" s="9"/>
      <c r="M323" s="9"/>
      <c r="N323" s="9"/>
      <c r="O323" s="9"/>
      <c r="P323" s="9"/>
      <c r="Q323" s="93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1"/>
      <c r="AL323" s="1"/>
      <c r="AM323" s="1"/>
      <c r="AN323" s="94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2"/>
      <c r="C324" s="1"/>
      <c r="D324" s="1"/>
      <c r="E324" s="1"/>
      <c r="F324" s="9"/>
      <c r="G324" s="9"/>
      <c r="H324" s="9"/>
      <c r="I324" s="9"/>
      <c r="J324" s="93"/>
      <c r="K324" s="9"/>
      <c r="L324" s="9"/>
      <c r="M324" s="9"/>
      <c r="N324" s="9"/>
      <c r="O324" s="9"/>
      <c r="P324" s="9"/>
      <c r="Q324" s="93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"/>
      <c r="AL324" s="1"/>
      <c r="AM324" s="1"/>
      <c r="AN324" s="94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2"/>
      <c r="C325" s="1"/>
      <c r="D325" s="1"/>
      <c r="E325" s="1"/>
      <c r="F325" s="9"/>
      <c r="G325" s="9"/>
      <c r="H325" s="9"/>
      <c r="I325" s="9"/>
      <c r="J325" s="93"/>
      <c r="K325" s="9"/>
      <c r="L325" s="9"/>
      <c r="M325" s="9"/>
      <c r="N325" s="9"/>
      <c r="O325" s="9"/>
      <c r="P325" s="9"/>
      <c r="Q325" s="93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"/>
      <c r="AL325" s="1"/>
      <c r="AM325" s="1"/>
      <c r="AN325" s="94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2"/>
      <c r="C326" s="1"/>
      <c r="D326" s="1"/>
      <c r="E326" s="1"/>
      <c r="F326" s="9"/>
      <c r="G326" s="9"/>
      <c r="H326" s="9"/>
      <c r="I326" s="9"/>
      <c r="J326" s="93"/>
      <c r="K326" s="9"/>
      <c r="L326" s="9"/>
      <c r="M326" s="9"/>
      <c r="N326" s="9"/>
      <c r="O326" s="9"/>
      <c r="P326" s="9"/>
      <c r="Q326" s="93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"/>
      <c r="AL326" s="1"/>
      <c r="AM326" s="1"/>
      <c r="AN326" s="94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2"/>
      <c r="C327" s="1"/>
      <c r="D327" s="1"/>
      <c r="E327" s="1"/>
      <c r="F327" s="9"/>
      <c r="G327" s="9"/>
      <c r="H327" s="9"/>
      <c r="I327" s="9"/>
      <c r="J327" s="93"/>
      <c r="K327" s="9"/>
      <c r="L327" s="9"/>
      <c r="M327" s="9"/>
      <c r="N327" s="9"/>
      <c r="O327" s="9"/>
      <c r="P327" s="9"/>
      <c r="Q327" s="93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1"/>
      <c r="AL327" s="1"/>
      <c r="AM327" s="1"/>
      <c r="AN327" s="94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2"/>
      <c r="C328" s="1"/>
      <c r="D328" s="1"/>
      <c r="E328" s="1"/>
      <c r="F328" s="9"/>
      <c r="G328" s="9"/>
      <c r="H328" s="9"/>
      <c r="I328" s="9"/>
      <c r="J328" s="93"/>
      <c r="K328" s="9"/>
      <c r="L328" s="9"/>
      <c r="M328" s="9"/>
      <c r="N328" s="9"/>
      <c r="O328" s="9"/>
      <c r="P328" s="9"/>
      <c r="Q328" s="93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1"/>
      <c r="AL328" s="1"/>
      <c r="AM328" s="1"/>
      <c r="AN328" s="94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2"/>
      <c r="C329" s="1"/>
      <c r="D329" s="1"/>
      <c r="E329" s="1"/>
      <c r="F329" s="9"/>
      <c r="G329" s="9"/>
      <c r="H329" s="9"/>
      <c r="I329" s="9"/>
      <c r="J329" s="93"/>
      <c r="K329" s="9"/>
      <c r="L329" s="9"/>
      <c r="M329" s="9"/>
      <c r="N329" s="9"/>
      <c r="O329" s="9"/>
      <c r="P329" s="9"/>
      <c r="Q329" s="93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1"/>
      <c r="AL329" s="1"/>
      <c r="AM329" s="1"/>
      <c r="AN329" s="94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2"/>
      <c r="C330" s="1"/>
      <c r="D330" s="1"/>
      <c r="E330" s="1"/>
      <c r="F330" s="9"/>
      <c r="G330" s="9"/>
      <c r="H330" s="9"/>
      <c r="I330" s="9"/>
      <c r="J330" s="93"/>
      <c r="K330" s="9"/>
      <c r="L330" s="9"/>
      <c r="M330" s="9"/>
      <c r="N330" s="9"/>
      <c r="O330" s="9"/>
      <c r="P330" s="9"/>
      <c r="Q330" s="93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"/>
      <c r="AL330" s="1"/>
      <c r="AM330" s="1"/>
      <c r="AN330" s="94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2"/>
      <c r="C331" s="1"/>
      <c r="D331" s="1"/>
      <c r="E331" s="1"/>
      <c r="F331" s="9"/>
      <c r="G331" s="9"/>
      <c r="H331" s="9"/>
      <c r="I331" s="9"/>
      <c r="J331" s="93"/>
      <c r="K331" s="9"/>
      <c r="L331" s="9"/>
      <c r="M331" s="9"/>
      <c r="N331" s="9"/>
      <c r="O331" s="9"/>
      <c r="P331" s="9"/>
      <c r="Q331" s="93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"/>
      <c r="AL331" s="1"/>
      <c r="AM331" s="1"/>
      <c r="AN331" s="94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2"/>
      <c r="C332" s="1"/>
      <c r="D332" s="1"/>
      <c r="E332" s="1"/>
      <c r="F332" s="9"/>
      <c r="G332" s="9"/>
      <c r="H332" s="9"/>
      <c r="I332" s="9"/>
      <c r="J332" s="93"/>
      <c r="K332" s="9"/>
      <c r="L332" s="9"/>
      <c r="M332" s="9"/>
      <c r="N332" s="9"/>
      <c r="O332" s="9"/>
      <c r="P332" s="9"/>
      <c r="Q332" s="93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"/>
      <c r="AL332" s="1"/>
      <c r="AM332" s="1"/>
      <c r="AN332" s="94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2"/>
      <c r="C333" s="1"/>
      <c r="D333" s="1"/>
      <c r="E333" s="1"/>
      <c r="F333" s="9"/>
      <c r="G333" s="9"/>
      <c r="H333" s="9"/>
      <c r="I333" s="9"/>
      <c r="J333" s="93"/>
      <c r="K333" s="9"/>
      <c r="L333" s="9"/>
      <c r="M333" s="9"/>
      <c r="N333" s="9"/>
      <c r="O333" s="9"/>
      <c r="P333" s="9"/>
      <c r="Q333" s="93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1"/>
      <c r="AL333" s="1"/>
      <c r="AM333" s="1"/>
      <c r="AN333" s="94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2"/>
      <c r="C334" s="1"/>
      <c r="D334" s="1"/>
      <c r="E334" s="1"/>
      <c r="F334" s="9"/>
      <c r="G334" s="9"/>
      <c r="H334" s="9"/>
      <c r="I334" s="9"/>
      <c r="J334" s="93"/>
      <c r="K334" s="9"/>
      <c r="L334" s="9"/>
      <c r="M334" s="9"/>
      <c r="N334" s="9"/>
      <c r="O334" s="9"/>
      <c r="P334" s="9"/>
      <c r="Q334" s="93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1"/>
      <c r="AL334" s="1"/>
      <c r="AM334" s="1"/>
      <c r="AN334" s="94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2"/>
      <c r="C335" s="1"/>
      <c r="D335" s="1"/>
      <c r="E335" s="1"/>
      <c r="F335" s="9"/>
      <c r="G335" s="9"/>
      <c r="H335" s="9"/>
      <c r="I335" s="9"/>
      <c r="J335" s="93"/>
      <c r="K335" s="9"/>
      <c r="L335" s="9"/>
      <c r="M335" s="9"/>
      <c r="N335" s="9"/>
      <c r="O335" s="9"/>
      <c r="P335" s="9"/>
      <c r="Q335" s="93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1"/>
      <c r="AL335" s="1"/>
      <c r="AM335" s="1"/>
      <c r="AN335" s="94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2"/>
      <c r="C336" s="1"/>
      <c r="D336" s="1"/>
      <c r="E336" s="1"/>
      <c r="F336" s="9"/>
      <c r="G336" s="9"/>
      <c r="H336" s="9"/>
      <c r="I336" s="9"/>
      <c r="J336" s="93"/>
      <c r="K336" s="9"/>
      <c r="L336" s="9"/>
      <c r="M336" s="9"/>
      <c r="N336" s="9"/>
      <c r="O336" s="9"/>
      <c r="P336" s="9"/>
      <c r="Q336" s="93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"/>
      <c r="AL336" s="1"/>
      <c r="AM336" s="1"/>
      <c r="AN336" s="94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2"/>
      <c r="C337" s="1"/>
      <c r="D337" s="1"/>
      <c r="E337" s="1"/>
      <c r="F337" s="9"/>
      <c r="G337" s="9"/>
      <c r="H337" s="9"/>
      <c r="I337" s="9"/>
      <c r="J337" s="93"/>
      <c r="K337" s="9"/>
      <c r="L337" s="9"/>
      <c r="M337" s="9"/>
      <c r="N337" s="9"/>
      <c r="O337" s="9"/>
      <c r="P337" s="9"/>
      <c r="Q337" s="93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"/>
      <c r="AL337" s="1"/>
      <c r="AM337" s="1"/>
      <c r="AN337" s="94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2"/>
      <c r="C338" s="1"/>
      <c r="D338" s="1"/>
      <c r="E338" s="1"/>
      <c r="F338" s="9"/>
      <c r="G338" s="9"/>
      <c r="H338" s="9"/>
      <c r="I338" s="9"/>
      <c r="J338" s="93"/>
      <c r="K338" s="9"/>
      <c r="L338" s="9"/>
      <c r="M338" s="9"/>
      <c r="N338" s="9"/>
      <c r="O338" s="9"/>
      <c r="P338" s="9"/>
      <c r="Q338" s="93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"/>
      <c r="AL338" s="1"/>
      <c r="AM338" s="1"/>
      <c r="AN338" s="94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2"/>
      <c r="C339" s="1"/>
      <c r="D339" s="1"/>
      <c r="E339" s="1"/>
      <c r="F339" s="9"/>
      <c r="G339" s="9"/>
      <c r="H339" s="9"/>
      <c r="I339" s="9"/>
      <c r="J339" s="93"/>
      <c r="K339" s="9"/>
      <c r="L339" s="9"/>
      <c r="M339" s="9"/>
      <c r="N339" s="9"/>
      <c r="O339" s="9"/>
      <c r="P339" s="9"/>
      <c r="Q339" s="93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1"/>
      <c r="AL339" s="1"/>
      <c r="AM339" s="1"/>
      <c r="AN339" s="94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2"/>
      <c r="C340" s="1"/>
      <c r="D340" s="1"/>
      <c r="E340" s="1"/>
      <c r="F340" s="9"/>
      <c r="G340" s="9"/>
      <c r="H340" s="9"/>
      <c r="I340" s="9"/>
      <c r="J340" s="93"/>
      <c r="K340" s="9"/>
      <c r="L340" s="9"/>
      <c r="M340" s="9"/>
      <c r="N340" s="9"/>
      <c r="O340" s="9"/>
      <c r="P340" s="9"/>
      <c r="Q340" s="93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1"/>
      <c r="AL340" s="1"/>
      <c r="AM340" s="1"/>
      <c r="AN340" s="94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2"/>
      <c r="C341" s="1"/>
      <c r="D341" s="1"/>
      <c r="E341" s="1"/>
      <c r="F341" s="9"/>
      <c r="G341" s="9"/>
      <c r="H341" s="9"/>
      <c r="I341" s="9"/>
      <c r="J341" s="93"/>
      <c r="K341" s="9"/>
      <c r="L341" s="9"/>
      <c r="M341" s="9"/>
      <c r="N341" s="9"/>
      <c r="O341" s="9"/>
      <c r="P341" s="9"/>
      <c r="Q341" s="93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1"/>
      <c r="AL341" s="1"/>
      <c r="AM341" s="1"/>
      <c r="AN341" s="94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2"/>
      <c r="C342" s="1"/>
      <c r="D342" s="1"/>
      <c r="E342" s="1"/>
      <c r="F342" s="9"/>
      <c r="G342" s="9"/>
      <c r="H342" s="9"/>
      <c r="I342" s="9"/>
      <c r="J342" s="93"/>
      <c r="K342" s="9"/>
      <c r="L342" s="9"/>
      <c r="M342" s="9"/>
      <c r="N342" s="9"/>
      <c r="O342" s="9"/>
      <c r="P342" s="9"/>
      <c r="Q342" s="93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"/>
      <c r="AL342" s="1"/>
      <c r="AM342" s="1"/>
      <c r="AN342" s="94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2"/>
      <c r="C343" s="1"/>
      <c r="D343" s="1"/>
      <c r="E343" s="1"/>
      <c r="F343" s="9"/>
      <c r="G343" s="9"/>
      <c r="H343" s="9"/>
      <c r="I343" s="9"/>
      <c r="J343" s="93"/>
      <c r="K343" s="9"/>
      <c r="L343" s="9"/>
      <c r="M343" s="9"/>
      <c r="N343" s="9"/>
      <c r="O343" s="9"/>
      <c r="P343" s="9"/>
      <c r="Q343" s="93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"/>
      <c r="AL343" s="1"/>
      <c r="AM343" s="1"/>
      <c r="AN343" s="94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2"/>
      <c r="C344" s="1"/>
      <c r="D344" s="1"/>
      <c r="E344" s="1"/>
      <c r="F344" s="9"/>
      <c r="G344" s="9"/>
      <c r="H344" s="9"/>
      <c r="I344" s="9"/>
      <c r="J344" s="93"/>
      <c r="K344" s="9"/>
      <c r="L344" s="9"/>
      <c r="M344" s="9"/>
      <c r="N344" s="9"/>
      <c r="O344" s="9"/>
      <c r="P344" s="9"/>
      <c r="Q344" s="93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"/>
      <c r="AL344" s="1"/>
      <c r="AM344" s="1"/>
      <c r="AN344" s="94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2"/>
      <c r="C345" s="1"/>
      <c r="D345" s="1"/>
      <c r="E345" s="1"/>
      <c r="F345" s="9"/>
      <c r="G345" s="9"/>
      <c r="H345" s="9"/>
      <c r="I345" s="9"/>
      <c r="J345" s="93"/>
      <c r="K345" s="9"/>
      <c r="L345" s="9"/>
      <c r="M345" s="9"/>
      <c r="N345" s="9"/>
      <c r="O345" s="9"/>
      <c r="P345" s="9"/>
      <c r="Q345" s="93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1"/>
      <c r="AL345" s="1"/>
      <c r="AM345" s="1"/>
      <c r="AN345" s="94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2"/>
      <c r="C346" s="1"/>
      <c r="D346" s="1"/>
      <c r="E346" s="1"/>
      <c r="F346" s="9"/>
      <c r="G346" s="9"/>
      <c r="H346" s="9"/>
      <c r="I346" s="9"/>
      <c r="J346" s="93"/>
      <c r="K346" s="9"/>
      <c r="L346" s="9"/>
      <c r="M346" s="9"/>
      <c r="N346" s="9"/>
      <c r="O346" s="9"/>
      <c r="P346" s="9"/>
      <c r="Q346" s="93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1"/>
      <c r="AL346" s="1"/>
      <c r="AM346" s="1"/>
      <c r="AN346" s="94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2"/>
      <c r="C347" s="1"/>
      <c r="D347" s="1"/>
      <c r="E347" s="1"/>
      <c r="F347" s="9"/>
      <c r="G347" s="9"/>
      <c r="H347" s="9"/>
      <c r="I347" s="9"/>
      <c r="J347" s="93"/>
      <c r="K347" s="9"/>
      <c r="L347" s="9"/>
      <c r="M347" s="9"/>
      <c r="N347" s="9"/>
      <c r="O347" s="9"/>
      <c r="P347" s="9"/>
      <c r="Q347" s="93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1"/>
      <c r="AL347" s="1"/>
      <c r="AM347" s="1"/>
      <c r="AN347" s="94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2"/>
      <c r="C348" s="1"/>
      <c r="D348" s="1"/>
      <c r="E348" s="1"/>
      <c r="F348" s="9"/>
      <c r="G348" s="9"/>
      <c r="H348" s="9"/>
      <c r="I348" s="9"/>
      <c r="J348" s="93"/>
      <c r="K348" s="9"/>
      <c r="L348" s="9"/>
      <c r="M348" s="9"/>
      <c r="N348" s="9"/>
      <c r="O348" s="9"/>
      <c r="P348" s="9"/>
      <c r="Q348" s="93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"/>
      <c r="AL348" s="1"/>
      <c r="AM348" s="1"/>
      <c r="AN348" s="94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2"/>
      <c r="C349" s="1"/>
      <c r="D349" s="1"/>
      <c r="E349" s="1"/>
      <c r="F349" s="9"/>
      <c r="G349" s="9"/>
      <c r="H349" s="9"/>
      <c r="I349" s="9"/>
      <c r="J349" s="93"/>
      <c r="K349" s="9"/>
      <c r="L349" s="9"/>
      <c r="M349" s="9"/>
      <c r="N349" s="9"/>
      <c r="O349" s="9"/>
      <c r="P349" s="9"/>
      <c r="Q349" s="93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"/>
      <c r="AL349" s="1"/>
      <c r="AM349" s="1"/>
      <c r="AN349" s="94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2"/>
      <c r="C350" s="1"/>
      <c r="D350" s="1"/>
      <c r="E350" s="1"/>
      <c r="F350" s="9"/>
      <c r="G350" s="9"/>
      <c r="H350" s="9"/>
      <c r="I350" s="9"/>
      <c r="J350" s="93"/>
      <c r="K350" s="9"/>
      <c r="L350" s="9"/>
      <c r="M350" s="9"/>
      <c r="N350" s="9"/>
      <c r="O350" s="9"/>
      <c r="P350" s="9"/>
      <c r="Q350" s="93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"/>
      <c r="AL350" s="1"/>
      <c r="AM350" s="1"/>
      <c r="AN350" s="94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2"/>
      <c r="C351" s="1"/>
      <c r="D351" s="1"/>
      <c r="E351" s="1"/>
      <c r="F351" s="9"/>
      <c r="G351" s="9"/>
      <c r="H351" s="9"/>
      <c r="I351" s="9"/>
      <c r="J351" s="93"/>
      <c r="K351" s="9"/>
      <c r="L351" s="9"/>
      <c r="M351" s="9"/>
      <c r="N351" s="9"/>
      <c r="O351" s="9"/>
      <c r="P351" s="9"/>
      <c r="Q351" s="93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1"/>
      <c r="AL351" s="1"/>
      <c r="AM351" s="1"/>
      <c r="AN351" s="94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2"/>
      <c r="C352" s="1"/>
      <c r="D352" s="1"/>
      <c r="E352" s="1"/>
      <c r="F352" s="9"/>
      <c r="G352" s="9"/>
      <c r="H352" s="9"/>
      <c r="I352" s="9"/>
      <c r="J352" s="93"/>
      <c r="K352" s="9"/>
      <c r="L352" s="9"/>
      <c r="M352" s="9"/>
      <c r="N352" s="9"/>
      <c r="O352" s="9"/>
      <c r="P352" s="9"/>
      <c r="Q352" s="93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1"/>
      <c r="AL352" s="1"/>
      <c r="AM352" s="1"/>
      <c r="AN352" s="94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2"/>
      <c r="C353" s="1"/>
      <c r="D353" s="1"/>
      <c r="E353" s="1"/>
      <c r="F353" s="9"/>
      <c r="G353" s="9"/>
      <c r="H353" s="9"/>
      <c r="I353" s="9"/>
      <c r="J353" s="93"/>
      <c r="K353" s="9"/>
      <c r="L353" s="9"/>
      <c r="M353" s="9"/>
      <c r="N353" s="9"/>
      <c r="O353" s="9"/>
      <c r="P353" s="9"/>
      <c r="Q353" s="93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1"/>
      <c r="AL353" s="1"/>
      <c r="AM353" s="1"/>
      <c r="AN353" s="94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2"/>
      <c r="C354" s="1"/>
      <c r="D354" s="1"/>
      <c r="E354" s="1"/>
      <c r="F354" s="9"/>
      <c r="G354" s="9"/>
      <c r="H354" s="9"/>
      <c r="I354" s="9"/>
      <c r="J354" s="93"/>
      <c r="K354" s="9"/>
      <c r="L354" s="9"/>
      <c r="M354" s="9"/>
      <c r="N354" s="9"/>
      <c r="O354" s="9"/>
      <c r="P354" s="9"/>
      <c r="Q354" s="93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"/>
      <c r="AL354" s="1"/>
      <c r="AM354" s="1"/>
      <c r="AN354" s="94"/>
      <c r="AO354" s="1"/>
      <c r="AP354" s="1"/>
      <c r="AQ354" s="1"/>
      <c r="AR354" s="1"/>
      <c r="AS354" s="1"/>
      <c r="AT354" s="1"/>
      <c r="AU354" s="1"/>
    </row>
    <row r="355" ht="10.5" customHeight="1">
      <c r="A355" s="1"/>
      <c r="B355" s="2"/>
      <c r="C355" s="1"/>
      <c r="D355" s="1"/>
      <c r="E355" s="1"/>
      <c r="F355" s="9"/>
      <c r="G355" s="9"/>
      <c r="H355" s="9"/>
      <c r="I355" s="9"/>
      <c r="J355" s="93"/>
      <c r="K355" s="9"/>
      <c r="L355" s="9"/>
      <c r="M355" s="9"/>
      <c r="N355" s="9"/>
      <c r="O355" s="9"/>
      <c r="P355" s="9"/>
      <c r="Q355" s="93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"/>
      <c r="AL355" s="1"/>
      <c r="AM355" s="1"/>
      <c r="AN355" s="94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2"/>
      <c r="C356" s="1"/>
      <c r="D356" s="1"/>
      <c r="E356" s="1"/>
      <c r="F356" s="9"/>
      <c r="G356" s="9"/>
      <c r="H356" s="9"/>
      <c r="I356" s="9"/>
      <c r="J356" s="93"/>
      <c r="K356" s="9"/>
      <c r="L356" s="9"/>
      <c r="M356" s="9"/>
      <c r="N356" s="9"/>
      <c r="O356" s="9"/>
      <c r="P356" s="9"/>
      <c r="Q356" s="93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"/>
      <c r="AL356" s="1"/>
      <c r="AM356" s="1"/>
      <c r="AN356" s="94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2"/>
      <c r="C357" s="1"/>
      <c r="D357" s="1"/>
      <c r="E357" s="1"/>
      <c r="F357" s="9"/>
      <c r="G357" s="9"/>
      <c r="H357" s="9"/>
      <c r="I357" s="9"/>
      <c r="J357" s="93"/>
      <c r="K357" s="9"/>
      <c r="L357" s="9"/>
      <c r="M357" s="9"/>
      <c r="N357" s="9"/>
      <c r="O357" s="9"/>
      <c r="P357" s="9"/>
      <c r="Q357" s="93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1"/>
      <c r="AL357" s="1"/>
      <c r="AM357" s="1"/>
      <c r="AN357" s="94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2"/>
      <c r="C358" s="1"/>
      <c r="D358" s="1"/>
      <c r="E358" s="1"/>
      <c r="F358" s="9"/>
      <c r="G358" s="9"/>
      <c r="H358" s="9"/>
      <c r="I358" s="9"/>
      <c r="J358" s="93"/>
      <c r="K358" s="9"/>
      <c r="L358" s="9"/>
      <c r="M358" s="9"/>
      <c r="N358" s="9"/>
      <c r="O358" s="9"/>
      <c r="P358" s="9"/>
      <c r="Q358" s="93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1"/>
      <c r="AL358" s="1"/>
      <c r="AM358" s="1"/>
      <c r="AN358" s="94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2"/>
      <c r="C359" s="1"/>
      <c r="D359" s="1"/>
      <c r="E359" s="1"/>
      <c r="F359" s="9"/>
      <c r="G359" s="9"/>
      <c r="H359" s="9"/>
      <c r="I359" s="9"/>
      <c r="J359" s="93"/>
      <c r="K359" s="9"/>
      <c r="L359" s="9"/>
      <c r="M359" s="9"/>
      <c r="N359" s="9"/>
      <c r="O359" s="9"/>
      <c r="P359" s="9"/>
      <c r="Q359" s="93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1"/>
      <c r="AL359" s="1"/>
      <c r="AM359" s="1"/>
      <c r="AN359" s="94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2"/>
      <c r="C360" s="1"/>
      <c r="D360" s="1"/>
      <c r="E360" s="1"/>
      <c r="F360" s="9"/>
      <c r="G360" s="9"/>
      <c r="H360" s="9"/>
      <c r="I360" s="9"/>
      <c r="J360" s="93"/>
      <c r="K360" s="9"/>
      <c r="L360" s="9"/>
      <c r="M360" s="9"/>
      <c r="N360" s="9"/>
      <c r="O360" s="9"/>
      <c r="P360" s="9"/>
      <c r="Q360" s="93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"/>
      <c r="AL360" s="1"/>
      <c r="AM360" s="1"/>
      <c r="AN360" s="94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2"/>
      <c r="C361" s="1"/>
      <c r="D361" s="1"/>
      <c r="E361" s="1"/>
      <c r="F361" s="9"/>
      <c r="G361" s="9"/>
      <c r="H361" s="9"/>
      <c r="I361" s="9"/>
      <c r="J361" s="93"/>
      <c r="K361" s="9"/>
      <c r="L361" s="9"/>
      <c r="M361" s="9"/>
      <c r="N361" s="9"/>
      <c r="O361" s="9"/>
      <c r="P361" s="9"/>
      <c r="Q361" s="93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"/>
      <c r="AL361" s="1"/>
      <c r="AM361" s="1"/>
      <c r="AN361" s="94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2"/>
      <c r="C362" s="1"/>
      <c r="D362" s="1"/>
      <c r="E362" s="1"/>
      <c r="F362" s="9"/>
      <c r="G362" s="9"/>
      <c r="H362" s="9"/>
      <c r="I362" s="9"/>
      <c r="J362" s="93"/>
      <c r="K362" s="9"/>
      <c r="L362" s="9"/>
      <c r="M362" s="9"/>
      <c r="N362" s="9"/>
      <c r="O362" s="9"/>
      <c r="P362" s="9"/>
      <c r="Q362" s="93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"/>
      <c r="AL362" s="1"/>
      <c r="AM362" s="1"/>
      <c r="AN362" s="94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2"/>
      <c r="C363" s="1"/>
      <c r="D363" s="1"/>
      <c r="E363" s="1"/>
      <c r="F363" s="9"/>
      <c r="G363" s="9"/>
      <c r="H363" s="9"/>
      <c r="I363" s="9"/>
      <c r="J363" s="93"/>
      <c r="K363" s="9"/>
      <c r="L363" s="9"/>
      <c r="M363" s="9"/>
      <c r="N363" s="9"/>
      <c r="O363" s="9"/>
      <c r="P363" s="9"/>
      <c r="Q363" s="93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1"/>
      <c r="AL363" s="1"/>
      <c r="AM363" s="1"/>
      <c r="AN363" s="94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2"/>
      <c r="C364" s="1"/>
      <c r="D364" s="1"/>
      <c r="E364" s="1"/>
      <c r="F364" s="9"/>
      <c r="G364" s="9"/>
      <c r="H364" s="9"/>
      <c r="I364" s="9"/>
      <c r="J364" s="93"/>
      <c r="K364" s="9"/>
      <c r="L364" s="9"/>
      <c r="M364" s="9"/>
      <c r="N364" s="9"/>
      <c r="O364" s="9"/>
      <c r="P364" s="9"/>
      <c r="Q364" s="93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1"/>
      <c r="AL364" s="1"/>
      <c r="AM364" s="1"/>
      <c r="AN364" s="94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2"/>
      <c r="C365" s="1"/>
      <c r="D365" s="1"/>
      <c r="E365" s="1"/>
      <c r="F365" s="9"/>
      <c r="G365" s="9"/>
      <c r="H365" s="9"/>
      <c r="I365" s="9"/>
      <c r="J365" s="93"/>
      <c r="K365" s="9"/>
      <c r="L365" s="9"/>
      <c r="M365" s="9"/>
      <c r="N365" s="9"/>
      <c r="O365" s="9"/>
      <c r="P365" s="9"/>
      <c r="Q365" s="93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1"/>
      <c r="AL365" s="1"/>
      <c r="AM365" s="1"/>
      <c r="AN365" s="94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2"/>
      <c r="C366" s="1"/>
      <c r="D366" s="1"/>
      <c r="E366" s="1"/>
      <c r="F366" s="9"/>
      <c r="G366" s="9"/>
      <c r="H366" s="9"/>
      <c r="I366" s="9"/>
      <c r="J366" s="93"/>
      <c r="K366" s="9"/>
      <c r="L366" s="9"/>
      <c r="M366" s="9"/>
      <c r="N366" s="9"/>
      <c r="O366" s="9"/>
      <c r="P366" s="9"/>
      <c r="Q366" s="93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"/>
      <c r="AL366" s="1"/>
      <c r="AM366" s="1"/>
      <c r="AN366" s="94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2"/>
      <c r="C367" s="1"/>
      <c r="D367" s="1"/>
      <c r="E367" s="1"/>
      <c r="F367" s="9"/>
      <c r="G367" s="9"/>
      <c r="H367" s="9"/>
      <c r="I367" s="9"/>
      <c r="J367" s="93"/>
      <c r="K367" s="9"/>
      <c r="L367" s="9"/>
      <c r="M367" s="9"/>
      <c r="N367" s="9"/>
      <c r="O367" s="9"/>
      <c r="P367" s="9"/>
      <c r="Q367" s="93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"/>
      <c r="AL367" s="1"/>
      <c r="AM367" s="1"/>
      <c r="AN367" s="94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2"/>
      <c r="C368" s="1"/>
      <c r="D368" s="1"/>
      <c r="E368" s="1"/>
      <c r="F368" s="9"/>
      <c r="G368" s="9"/>
      <c r="H368" s="9"/>
      <c r="I368" s="9"/>
      <c r="J368" s="93"/>
      <c r="K368" s="9"/>
      <c r="L368" s="9"/>
      <c r="M368" s="9"/>
      <c r="N368" s="9"/>
      <c r="O368" s="9"/>
      <c r="P368" s="9"/>
      <c r="Q368" s="93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"/>
      <c r="AL368" s="1"/>
      <c r="AM368" s="1"/>
      <c r="AN368" s="94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2"/>
      <c r="C369" s="1"/>
      <c r="D369" s="1"/>
      <c r="E369" s="1"/>
      <c r="F369" s="9"/>
      <c r="G369" s="9"/>
      <c r="H369" s="9"/>
      <c r="I369" s="9"/>
      <c r="J369" s="93"/>
      <c r="K369" s="9"/>
      <c r="L369" s="9"/>
      <c r="M369" s="9"/>
      <c r="N369" s="9"/>
      <c r="O369" s="9"/>
      <c r="P369" s="9"/>
      <c r="Q369" s="93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1"/>
      <c r="AL369" s="1"/>
      <c r="AM369" s="1"/>
      <c r="AN369" s="94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2"/>
      <c r="C370" s="1"/>
      <c r="D370" s="1"/>
      <c r="E370" s="1"/>
      <c r="F370" s="9"/>
      <c r="G370" s="9"/>
      <c r="H370" s="9"/>
      <c r="I370" s="9"/>
      <c r="J370" s="93"/>
      <c r="K370" s="9"/>
      <c r="L370" s="9"/>
      <c r="M370" s="9"/>
      <c r="N370" s="9"/>
      <c r="O370" s="9"/>
      <c r="P370" s="9"/>
      <c r="Q370" s="93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1"/>
      <c r="AL370" s="1"/>
      <c r="AM370" s="1"/>
      <c r="AN370" s="94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2"/>
      <c r="C371" s="1"/>
      <c r="D371" s="1"/>
      <c r="E371" s="1"/>
      <c r="F371" s="9"/>
      <c r="G371" s="9"/>
      <c r="H371" s="9"/>
      <c r="I371" s="9"/>
      <c r="J371" s="93"/>
      <c r="K371" s="9"/>
      <c r="L371" s="9"/>
      <c r="M371" s="9"/>
      <c r="N371" s="9"/>
      <c r="O371" s="9"/>
      <c r="P371" s="9"/>
      <c r="Q371" s="93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1"/>
      <c r="AL371" s="1"/>
      <c r="AM371" s="1"/>
      <c r="AN371" s="94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2"/>
      <c r="C372" s="1"/>
      <c r="D372" s="1"/>
      <c r="E372" s="1"/>
      <c r="F372" s="9"/>
      <c r="G372" s="9"/>
      <c r="H372" s="9"/>
      <c r="I372" s="9"/>
      <c r="J372" s="93"/>
      <c r="K372" s="9"/>
      <c r="L372" s="9"/>
      <c r="M372" s="9"/>
      <c r="N372" s="9"/>
      <c r="O372" s="9"/>
      <c r="P372" s="9"/>
      <c r="Q372" s="93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"/>
      <c r="AL372" s="1"/>
      <c r="AM372" s="1"/>
      <c r="AN372" s="94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2"/>
      <c r="C373" s="1"/>
      <c r="D373" s="1"/>
      <c r="E373" s="1"/>
      <c r="F373" s="9"/>
      <c r="G373" s="9"/>
      <c r="H373" s="9"/>
      <c r="I373" s="9"/>
      <c r="J373" s="93"/>
      <c r="K373" s="9"/>
      <c r="L373" s="9"/>
      <c r="M373" s="9"/>
      <c r="N373" s="9"/>
      <c r="O373" s="9"/>
      <c r="P373" s="9"/>
      <c r="Q373" s="93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"/>
      <c r="AL373" s="1"/>
      <c r="AM373" s="1"/>
      <c r="AN373" s="94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2"/>
      <c r="C374" s="1"/>
      <c r="D374" s="1"/>
      <c r="E374" s="1"/>
      <c r="F374" s="9"/>
      <c r="G374" s="9"/>
      <c r="H374" s="9"/>
      <c r="I374" s="9"/>
      <c r="J374" s="93"/>
      <c r="K374" s="9"/>
      <c r="L374" s="9"/>
      <c r="M374" s="9"/>
      <c r="N374" s="9"/>
      <c r="O374" s="9"/>
      <c r="P374" s="9"/>
      <c r="Q374" s="93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"/>
      <c r="AL374" s="1"/>
      <c r="AM374" s="1"/>
      <c r="AN374" s="94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2"/>
      <c r="C375" s="1"/>
      <c r="D375" s="1"/>
      <c r="E375" s="1"/>
      <c r="F375" s="9"/>
      <c r="G375" s="9"/>
      <c r="H375" s="9"/>
      <c r="I375" s="9"/>
      <c r="J375" s="93"/>
      <c r="K375" s="9"/>
      <c r="L375" s="9"/>
      <c r="M375" s="9"/>
      <c r="N375" s="9"/>
      <c r="O375" s="9"/>
      <c r="P375" s="9"/>
      <c r="Q375" s="93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1"/>
      <c r="AL375" s="1"/>
      <c r="AM375" s="1"/>
      <c r="AN375" s="94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2"/>
      <c r="C376" s="1"/>
      <c r="D376" s="1"/>
      <c r="E376" s="1"/>
      <c r="F376" s="9"/>
      <c r="G376" s="9"/>
      <c r="H376" s="9"/>
      <c r="I376" s="9"/>
      <c r="J376" s="93"/>
      <c r="K376" s="9"/>
      <c r="L376" s="9"/>
      <c r="M376" s="9"/>
      <c r="N376" s="9"/>
      <c r="O376" s="9"/>
      <c r="P376" s="9"/>
      <c r="Q376" s="93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1"/>
      <c r="AL376" s="1"/>
      <c r="AM376" s="1"/>
      <c r="AN376" s="94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2"/>
      <c r="C377" s="1"/>
      <c r="D377" s="1"/>
      <c r="E377" s="1"/>
      <c r="F377" s="9"/>
      <c r="G377" s="9"/>
      <c r="H377" s="9"/>
      <c r="I377" s="9"/>
      <c r="J377" s="93"/>
      <c r="K377" s="9"/>
      <c r="L377" s="9"/>
      <c r="M377" s="9"/>
      <c r="N377" s="9"/>
      <c r="O377" s="9"/>
      <c r="P377" s="9"/>
      <c r="Q377" s="93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1"/>
      <c r="AL377" s="1"/>
      <c r="AM377" s="1"/>
      <c r="AN377" s="94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2"/>
      <c r="C378" s="1"/>
      <c r="D378" s="1"/>
      <c r="E378" s="1"/>
      <c r="F378" s="9"/>
      <c r="G378" s="9"/>
      <c r="H378" s="9"/>
      <c r="I378" s="9"/>
      <c r="J378" s="93"/>
      <c r="K378" s="9"/>
      <c r="L378" s="9"/>
      <c r="M378" s="9"/>
      <c r="N378" s="9"/>
      <c r="O378" s="9"/>
      <c r="P378" s="9"/>
      <c r="Q378" s="93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"/>
      <c r="AL378" s="1"/>
      <c r="AM378" s="1"/>
      <c r="AN378" s="94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2"/>
      <c r="C379" s="1"/>
      <c r="D379" s="1"/>
      <c r="E379" s="1"/>
      <c r="F379" s="9"/>
      <c r="G379" s="9"/>
      <c r="H379" s="9"/>
      <c r="I379" s="9"/>
      <c r="J379" s="93"/>
      <c r="K379" s="9"/>
      <c r="L379" s="9"/>
      <c r="M379" s="9"/>
      <c r="N379" s="9"/>
      <c r="O379" s="9"/>
      <c r="P379" s="9"/>
      <c r="Q379" s="93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"/>
      <c r="AL379" s="1"/>
      <c r="AM379" s="1"/>
      <c r="AN379" s="94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2"/>
      <c r="C380" s="1"/>
      <c r="D380" s="1"/>
      <c r="E380" s="1"/>
      <c r="F380" s="9"/>
      <c r="G380" s="9"/>
      <c r="H380" s="9"/>
      <c r="I380" s="9"/>
      <c r="J380" s="93"/>
      <c r="K380" s="9"/>
      <c r="L380" s="9"/>
      <c r="M380" s="9"/>
      <c r="N380" s="9"/>
      <c r="O380" s="9"/>
      <c r="P380" s="9"/>
      <c r="Q380" s="93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1"/>
      <c r="AL380" s="1"/>
      <c r="AM380" s="1"/>
      <c r="AN380" s="94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2"/>
      <c r="C381" s="1"/>
      <c r="D381" s="1"/>
      <c r="E381" s="1"/>
      <c r="F381" s="9"/>
      <c r="G381" s="9"/>
      <c r="H381" s="9"/>
      <c r="I381" s="9"/>
      <c r="J381" s="93"/>
      <c r="K381" s="9"/>
      <c r="L381" s="9"/>
      <c r="M381" s="9"/>
      <c r="N381" s="9"/>
      <c r="O381" s="9"/>
      <c r="P381" s="9"/>
      <c r="Q381" s="93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"/>
      <c r="AL381" s="1"/>
      <c r="AM381" s="1"/>
      <c r="AN381" s="94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2"/>
      <c r="C382" s="1"/>
      <c r="D382" s="1"/>
      <c r="E382" s="1"/>
      <c r="F382" s="9"/>
      <c r="G382" s="9"/>
      <c r="H382" s="9"/>
      <c r="I382" s="9"/>
      <c r="J382" s="93"/>
      <c r="K382" s="9"/>
      <c r="L382" s="9"/>
      <c r="M382" s="9"/>
      <c r="N382" s="9"/>
      <c r="O382" s="9"/>
      <c r="P382" s="9"/>
      <c r="Q382" s="93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"/>
      <c r="AL382" s="1"/>
      <c r="AM382" s="1"/>
      <c r="AN382" s="94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2"/>
      <c r="C383" s="1"/>
      <c r="D383" s="1"/>
      <c r="E383" s="1"/>
      <c r="F383" s="9"/>
      <c r="G383" s="9"/>
      <c r="H383" s="9"/>
      <c r="I383" s="9"/>
      <c r="J383" s="93"/>
      <c r="K383" s="9"/>
      <c r="L383" s="9"/>
      <c r="M383" s="9"/>
      <c r="N383" s="9"/>
      <c r="O383" s="9"/>
      <c r="P383" s="9"/>
      <c r="Q383" s="93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1"/>
      <c r="AL383" s="1"/>
      <c r="AM383" s="1"/>
      <c r="AN383" s="94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2"/>
      <c r="C384" s="1"/>
      <c r="D384" s="1"/>
      <c r="E384" s="1"/>
      <c r="F384" s="9"/>
      <c r="G384" s="9"/>
      <c r="H384" s="9"/>
      <c r="I384" s="9"/>
      <c r="J384" s="93"/>
      <c r="K384" s="9"/>
      <c r="L384" s="9"/>
      <c r="M384" s="9"/>
      <c r="N384" s="9"/>
      <c r="O384" s="9"/>
      <c r="P384" s="9"/>
      <c r="Q384" s="93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"/>
      <c r="AL384" s="1"/>
      <c r="AM384" s="1"/>
      <c r="AN384" s="94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2"/>
      <c r="C385" s="1"/>
      <c r="D385" s="1"/>
      <c r="E385" s="1"/>
      <c r="F385" s="9"/>
      <c r="G385" s="9"/>
      <c r="H385" s="9"/>
      <c r="I385" s="9"/>
      <c r="J385" s="93"/>
      <c r="K385" s="9"/>
      <c r="L385" s="9"/>
      <c r="M385" s="9"/>
      <c r="N385" s="9"/>
      <c r="O385" s="9"/>
      <c r="P385" s="9"/>
      <c r="Q385" s="93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"/>
      <c r="AL385" s="1"/>
      <c r="AM385" s="1"/>
      <c r="AN385" s="94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2"/>
      <c r="C386" s="1"/>
      <c r="D386" s="1"/>
      <c r="E386" s="1"/>
      <c r="F386" s="9"/>
      <c r="G386" s="9"/>
      <c r="H386" s="9"/>
      <c r="I386" s="9"/>
      <c r="J386" s="93"/>
      <c r="K386" s="9"/>
      <c r="L386" s="9"/>
      <c r="M386" s="9"/>
      <c r="N386" s="9"/>
      <c r="O386" s="9"/>
      <c r="P386" s="9"/>
      <c r="Q386" s="93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"/>
      <c r="AL386" s="1"/>
      <c r="AM386" s="1"/>
      <c r="AN386" s="94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2"/>
      <c r="C387" s="1"/>
      <c r="D387" s="1"/>
      <c r="E387" s="1"/>
      <c r="F387" s="9"/>
      <c r="G387" s="9"/>
      <c r="H387" s="9"/>
      <c r="I387" s="9"/>
      <c r="J387" s="93"/>
      <c r="K387" s="9"/>
      <c r="L387" s="9"/>
      <c r="M387" s="9"/>
      <c r="N387" s="9"/>
      <c r="O387" s="9"/>
      <c r="P387" s="9"/>
      <c r="Q387" s="93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1"/>
      <c r="AL387" s="1"/>
      <c r="AM387" s="1"/>
      <c r="AN387" s="94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2"/>
      <c r="C388" s="1"/>
      <c r="D388" s="1"/>
      <c r="E388" s="1"/>
      <c r="F388" s="9"/>
      <c r="G388" s="9"/>
      <c r="H388" s="9"/>
      <c r="I388" s="9"/>
      <c r="J388" s="93"/>
      <c r="K388" s="9"/>
      <c r="L388" s="9"/>
      <c r="M388" s="9"/>
      <c r="N388" s="9"/>
      <c r="O388" s="9"/>
      <c r="P388" s="9"/>
      <c r="Q388" s="93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1"/>
      <c r="AL388" s="1"/>
      <c r="AM388" s="1"/>
      <c r="AN388" s="94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2"/>
      <c r="C389" s="1"/>
      <c r="D389" s="1"/>
      <c r="E389" s="1"/>
      <c r="F389" s="9"/>
      <c r="G389" s="9"/>
      <c r="H389" s="9"/>
      <c r="I389" s="9"/>
      <c r="J389" s="93"/>
      <c r="K389" s="9"/>
      <c r="L389" s="9"/>
      <c r="M389" s="9"/>
      <c r="N389" s="9"/>
      <c r="O389" s="9"/>
      <c r="P389" s="9"/>
      <c r="Q389" s="93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1"/>
      <c r="AL389" s="1"/>
      <c r="AM389" s="1"/>
      <c r="AN389" s="94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2"/>
      <c r="C390" s="1"/>
      <c r="D390" s="1"/>
      <c r="E390" s="1"/>
      <c r="F390" s="9"/>
      <c r="G390" s="9"/>
      <c r="H390" s="9"/>
      <c r="I390" s="9"/>
      <c r="J390" s="93"/>
      <c r="K390" s="9"/>
      <c r="L390" s="9"/>
      <c r="M390" s="9"/>
      <c r="N390" s="9"/>
      <c r="O390" s="9"/>
      <c r="P390" s="9"/>
      <c r="Q390" s="93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"/>
      <c r="AL390" s="1"/>
      <c r="AM390" s="1"/>
      <c r="AN390" s="94"/>
      <c r="AO390" s="1"/>
      <c r="AP390" s="1"/>
      <c r="AQ390" s="1"/>
      <c r="AR390" s="1"/>
      <c r="AS390" s="1"/>
      <c r="AT390" s="1"/>
      <c r="AU390" s="1"/>
    </row>
    <row r="391" ht="10.5" customHeight="1">
      <c r="A391" s="1"/>
      <c r="B391" s="2"/>
      <c r="C391" s="1"/>
      <c r="D391" s="1"/>
      <c r="E391" s="1"/>
      <c r="F391" s="9"/>
      <c r="G391" s="9"/>
      <c r="H391" s="9"/>
      <c r="I391" s="9"/>
      <c r="J391" s="93"/>
      <c r="K391" s="9"/>
      <c r="L391" s="9"/>
      <c r="M391" s="9"/>
      <c r="N391" s="9"/>
      <c r="O391" s="9"/>
      <c r="P391" s="9"/>
      <c r="Q391" s="93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"/>
      <c r="AL391" s="1"/>
      <c r="AM391" s="1"/>
      <c r="AN391" s="94"/>
      <c r="AO391" s="1"/>
      <c r="AP391" s="1"/>
      <c r="AQ391" s="1"/>
      <c r="AR391" s="1"/>
      <c r="AS391" s="1"/>
      <c r="AT391" s="1"/>
      <c r="AU391" s="1"/>
    </row>
    <row r="392" ht="10.5" customHeight="1">
      <c r="A392" s="1"/>
      <c r="B392" s="2"/>
      <c r="C392" s="1"/>
      <c r="D392" s="1"/>
      <c r="E392" s="1"/>
      <c r="F392" s="9"/>
      <c r="G392" s="9"/>
      <c r="H392" s="9"/>
      <c r="I392" s="9"/>
      <c r="J392" s="93"/>
      <c r="K392" s="9"/>
      <c r="L392" s="9"/>
      <c r="M392" s="9"/>
      <c r="N392" s="9"/>
      <c r="O392" s="9"/>
      <c r="P392" s="9"/>
      <c r="Q392" s="93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"/>
      <c r="AL392" s="1"/>
      <c r="AM392" s="1"/>
      <c r="AN392" s="94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2"/>
      <c r="C393" s="1"/>
      <c r="D393" s="1"/>
      <c r="E393" s="1"/>
      <c r="F393" s="9"/>
      <c r="G393" s="9"/>
      <c r="H393" s="9"/>
      <c r="I393" s="9"/>
      <c r="J393" s="93"/>
      <c r="K393" s="9"/>
      <c r="L393" s="9"/>
      <c r="M393" s="9"/>
      <c r="N393" s="9"/>
      <c r="O393" s="9"/>
      <c r="P393" s="9"/>
      <c r="Q393" s="93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1"/>
      <c r="AL393" s="1"/>
      <c r="AM393" s="1"/>
      <c r="AN393" s="94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2"/>
      <c r="C394" s="1"/>
      <c r="D394" s="1"/>
      <c r="E394" s="1"/>
      <c r="F394" s="9"/>
      <c r="G394" s="9"/>
      <c r="H394" s="9"/>
      <c r="I394" s="9"/>
      <c r="J394" s="93"/>
      <c r="K394" s="9"/>
      <c r="L394" s="9"/>
      <c r="M394" s="9"/>
      <c r="N394" s="9"/>
      <c r="O394" s="9"/>
      <c r="P394" s="9"/>
      <c r="Q394" s="93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1"/>
      <c r="AL394" s="1"/>
      <c r="AM394" s="1"/>
      <c r="AN394" s="94"/>
      <c r="AO394" s="1"/>
      <c r="AP394" s="1"/>
      <c r="AQ394" s="1"/>
      <c r="AR394" s="1"/>
      <c r="AS394" s="1"/>
      <c r="AT394" s="1"/>
      <c r="AU394" s="1"/>
    </row>
    <row r="395" ht="10.5" customHeight="1">
      <c r="A395" s="1"/>
      <c r="B395" s="2"/>
      <c r="C395" s="1"/>
      <c r="D395" s="1"/>
      <c r="E395" s="1"/>
      <c r="F395" s="9"/>
      <c r="G395" s="9"/>
      <c r="H395" s="9"/>
      <c r="I395" s="9"/>
      <c r="J395" s="93"/>
      <c r="K395" s="9"/>
      <c r="L395" s="9"/>
      <c r="M395" s="9"/>
      <c r="N395" s="9"/>
      <c r="O395" s="9"/>
      <c r="P395" s="9"/>
      <c r="Q395" s="93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1"/>
      <c r="AL395" s="1"/>
      <c r="AM395" s="1"/>
      <c r="AN395" s="94"/>
      <c r="AO395" s="1"/>
      <c r="AP395" s="1"/>
      <c r="AQ395" s="1"/>
      <c r="AR395" s="1"/>
      <c r="AS395" s="1"/>
      <c r="AT395" s="1"/>
      <c r="AU395" s="1"/>
    </row>
    <row r="396" ht="10.5" customHeight="1">
      <c r="A396" s="1"/>
      <c r="B396" s="2"/>
      <c r="C396" s="1"/>
      <c r="D396" s="1"/>
      <c r="E396" s="1"/>
      <c r="F396" s="9"/>
      <c r="G396" s="9"/>
      <c r="H396" s="9"/>
      <c r="I396" s="9"/>
      <c r="J396" s="93"/>
      <c r="K396" s="9"/>
      <c r="L396" s="9"/>
      <c r="M396" s="9"/>
      <c r="N396" s="9"/>
      <c r="O396" s="9"/>
      <c r="P396" s="9"/>
      <c r="Q396" s="93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"/>
      <c r="AL396" s="1"/>
      <c r="AM396" s="1"/>
      <c r="AN396" s="94"/>
      <c r="AO396" s="1"/>
      <c r="AP396" s="1"/>
      <c r="AQ396" s="1"/>
      <c r="AR396" s="1"/>
      <c r="AS396" s="1"/>
      <c r="AT396" s="1"/>
      <c r="AU396" s="1"/>
    </row>
    <row r="397" ht="10.5" customHeight="1">
      <c r="A397" s="1"/>
      <c r="B397" s="2"/>
      <c r="C397" s="1"/>
      <c r="D397" s="1"/>
      <c r="E397" s="1"/>
      <c r="F397" s="9"/>
      <c r="G397" s="9"/>
      <c r="H397" s="9"/>
      <c r="I397" s="9"/>
      <c r="J397" s="93"/>
      <c r="K397" s="9"/>
      <c r="L397" s="9"/>
      <c r="M397" s="9"/>
      <c r="N397" s="9"/>
      <c r="O397" s="9"/>
      <c r="P397" s="9"/>
      <c r="Q397" s="93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"/>
      <c r="AL397" s="1"/>
      <c r="AM397" s="1"/>
      <c r="AN397" s="94"/>
      <c r="AO397" s="1"/>
      <c r="AP397" s="1"/>
      <c r="AQ397" s="1"/>
      <c r="AR397" s="1"/>
      <c r="AS397" s="1"/>
      <c r="AT397" s="1"/>
      <c r="AU397" s="1"/>
    </row>
    <row r="398" ht="10.5" customHeight="1">
      <c r="A398" s="1"/>
      <c r="B398" s="2"/>
      <c r="C398" s="1"/>
      <c r="D398" s="1"/>
      <c r="E398" s="1"/>
      <c r="F398" s="9"/>
      <c r="G398" s="9"/>
      <c r="H398" s="9"/>
      <c r="I398" s="9"/>
      <c r="J398" s="93"/>
      <c r="K398" s="9"/>
      <c r="L398" s="9"/>
      <c r="M398" s="9"/>
      <c r="N398" s="9"/>
      <c r="O398" s="9"/>
      <c r="P398" s="9"/>
      <c r="Q398" s="93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"/>
      <c r="AL398" s="1"/>
      <c r="AM398" s="1"/>
      <c r="AN398" s="94"/>
      <c r="AO398" s="1"/>
      <c r="AP398" s="1"/>
      <c r="AQ398" s="1"/>
      <c r="AR398" s="1"/>
      <c r="AS398" s="1"/>
      <c r="AT398" s="1"/>
      <c r="AU398" s="1"/>
    </row>
    <row r="399" ht="10.5" customHeight="1">
      <c r="A399" s="1"/>
      <c r="B399" s="2"/>
      <c r="C399" s="1"/>
      <c r="D399" s="1"/>
      <c r="E399" s="1"/>
      <c r="F399" s="9"/>
      <c r="G399" s="9"/>
      <c r="H399" s="9"/>
      <c r="I399" s="9"/>
      <c r="J399" s="93"/>
      <c r="K399" s="9"/>
      <c r="L399" s="9"/>
      <c r="M399" s="9"/>
      <c r="N399" s="9"/>
      <c r="O399" s="9"/>
      <c r="P399" s="9"/>
      <c r="Q399" s="93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1"/>
      <c r="AL399" s="1"/>
      <c r="AM399" s="1"/>
      <c r="AN399" s="94"/>
      <c r="AO399" s="1"/>
      <c r="AP399" s="1"/>
      <c r="AQ399" s="1"/>
      <c r="AR399" s="1"/>
      <c r="AS399" s="1"/>
      <c r="AT399" s="1"/>
      <c r="AU399" s="1"/>
    </row>
    <row r="400" ht="10.5" customHeight="1">
      <c r="A400" s="1"/>
      <c r="B400" s="2"/>
      <c r="C400" s="1"/>
      <c r="D400" s="1"/>
      <c r="E400" s="1"/>
      <c r="F400" s="9"/>
      <c r="G400" s="9"/>
      <c r="H400" s="9"/>
      <c r="I400" s="9"/>
      <c r="J400" s="93"/>
      <c r="K400" s="9"/>
      <c r="L400" s="9"/>
      <c r="M400" s="9"/>
      <c r="N400" s="9"/>
      <c r="O400" s="9"/>
      <c r="P400" s="9"/>
      <c r="Q400" s="93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1"/>
      <c r="AL400" s="1"/>
      <c r="AM400" s="1"/>
      <c r="AN400" s="94"/>
      <c r="AO400" s="1"/>
      <c r="AP400" s="1"/>
      <c r="AQ400" s="1"/>
      <c r="AR400" s="1"/>
      <c r="AS400" s="1"/>
      <c r="AT400" s="1"/>
      <c r="AU400" s="1"/>
    </row>
    <row r="401" ht="10.5" customHeight="1">
      <c r="A401" s="1"/>
      <c r="B401" s="2"/>
      <c r="C401" s="1"/>
      <c r="D401" s="1"/>
      <c r="E401" s="1"/>
      <c r="F401" s="9"/>
      <c r="G401" s="9"/>
      <c r="H401" s="9"/>
      <c r="I401" s="9"/>
      <c r="J401" s="93"/>
      <c r="K401" s="9"/>
      <c r="L401" s="9"/>
      <c r="M401" s="9"/>
      <c r="N401" s="9"/>
      <c r="O401" s="9"/>
      <c r="P401" s="9"/>
      <c r="Q401" s="93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1"/>
      <c r="AL401" s="1"/>
      <c r="AM401" s="1"/>
      <c r="AN401" s="94"/>
      <c r="AO401" s="1"/>
      <c r="AP401" s="1"/>
      <c r="AQ401" s="1"/>
      <c r="AR401" s="1"/>
      <c r="AS401" s="1"/>
      <c r="AT401" s="1"/>
      <c r="AU401" s="1"/>
    </row>
    <row r="402" ht="10.5" customHeight="1">
      <c r="A402" s="1"/>
      <c r="B402" s="2"/>
      <c r="C402" s="1"/>
      <c r="D402" s="1"/>
      <c r="E402" s="1"/>
      <c r="F402" s="9"/>
      <c r="G402" s="9"/>
      <c r="H402" s="9"/>
      <c r="I402" s="9"/>
      <c r="J402" s="93"/>
      <c r="K402" s="9"/>
      <c r="L402" s="9"/>
      <c r="M402" s="9"/>
      <c r="N402" s="9"/>
      <c r="O402" s="9"/>
      <c r="P402" s="9"/>
      <c r="Q402" s="93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"/>
      <c r="AL402" s="1"/>
      <c r="AM402" s="1"/>
      <c r="AN402" s="94"/>
      <c r="AO402" s="1"/>
      <c r="AP402" s="1"/>
      <c r="AQ402" s="1"/>
      <c r="AR402" s="1"/>
      <c r="AS402" s="1"/>
      <c r="AT402" s="1"/>
      <c r="AU402" s="1"/>
    </row>
    <row r="403" ht="10.5" customHeight="1">
      <c r="A403" s="1"/>
      <c r="B403" s="2"/>
      <c r="C403" s="1"/>
      <c r="D403" s="1"/>
      <c r="E403" s="1"/>
      <c r="F403" s="9"/>
      <c r="G403" s="9"/>
      <c r="H403" s="9"/>
      <c r="I403" s="9"/>
      <c r="J403" s="93"/>
      <c r="K403" s="9"/>
      <c r="L403" s="9"/>
      <c r="M403" s="9"/>
      <c r="N403" s="9"/>
      <c r="O403" s="9"/>
      <c r="P403" s="9"/>
      <c r="Q403" s="93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"/>
      <c r="AL403" s="1"/>
      <c r="AM403" s="1"/>
      <c r="AN403" s="94"/>
      <c r="AO403" s="1"/>
      <c r="AP403" s="1"/>
      <c r="AQ403" s="1"/>
      <c r="AR403" s="1"/>
      <c r="AS403" s="1"/>
      <c r="AT403" s="1"/>
      <c r="AU403" s="1"/>
    </row>
    <row r="404" ht="10.5" customHeight="1">
      <c r="A404" s="1"/>
      <c r="B404" s="2"/>
      <c r="C404" s="1"/>
      <c r="D404" s="1"/>
      <c r="E404" s="1"/>
      <c r="F404" s="9"/>
      <c r="G404" s="9"/>
      <c r="H404" s="9"/>
      <c r="I404" s="9"/>
      <c r="J404" s="93"/>
      <c r="K404" s="9"/>
      <c r="L404" s="9"/>
      <c r="M404" s="9"/>
      <c r="N404" s="9"/>
      <c r="O404" s="9"/>
      <c r="P404" s="9"/>
      <c r="Q404" s="93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"/>
      <c r="AL404" s="1"/>
      <c r="AM404" s="1"/>
      <c r="AN404" s="94"/>
      <c r="AO404" s="1"/>
      <c r="AP404" s="1"/>
      <c r="AQ404" s="1"/>
      <c r="AR404" s="1"/>
      <c r="AS404" s="1"/>
      <c r="AT404" s="1"/>
      <c r="AU404" s="1"/>
    </row>
    <row r="405" ht="10.5" customHeight="1">
      <c r="A405" s="1"/>
      <c r="B405" s="2"/>
      <c r="C405" s="1"/>
      <c r="D405" s="1"/>
      <c r="E405" s="1"/>
      <c r="F405" s="9"/>
      <c r="G405" s="9"/>
      <c r="H405" s="9"/>
      <c r="I405" s="9"/>
      <c r="J405" s="93"/>
      <c r="K405" s="9"/>
      <c r="L405" s="9"/>
      <c r="M405" s="9"/>
      <c r="N405" s="9"/>
      <c r="O405" s="9"/>
      <c r="P405" s="9"/>
      <c r="Q405" s="93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1"/>
      <c r="AL405" s="1"/>
      <c r="AM405" s="1"/>
      <c r="AN405" s="94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2"/>
      <c r="C406" s="1"/>
      <c r="D406" s="1"/>
      <c r="E406" s="1"/>
      <c r="F406" s="9"/>
      <c r="G406" s="9"/>
      <c r="H406" s="9"/>
      <c r="I406" s="9"/>
      <c r="J406" s="93"/>
      <c r="K406" s="9"/>
      <c r="L406" s="9"/>
      <c r="M406" s="9"/>
      <c r="N406" s="9"/>
      <c r="O406" s="9"/>
      <c r="P406" s="9"/>
      <c r="Q406" s="93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1"/>
      <c r="AL406" s="1"/>
      <c r="AM406" s="1"/>
      <c r="AN406" s="94"/>
      <c r="AO406" s="1"/>
      <c r="AP406" s="1"/>
      <c r="AQ406" s="1"/>
      <c r="AR406" s="1"/>
      <c r="AS406" s="1"/>
      <c r="AT406" s="1"/>
      <c r="AU406" s="1"/>
    </row>
    <row r="407" ht="10.5" customHeight="1">
      <c r="A407" s="1"/>
      <c r="B407" s="2"/>
      <c r="C407" s="1"/>
      <c r="D407" s="1"/>
      <c r="E407" s="1"/>
      <c r="F407" s="9"/>
      <c r="G407" s="9"/>
      <c r="H407" s="9"/>
      <c r="I407" s="9"/>
      <c r="J407" s="93"/>
      <c r="K407" s="9"/>
      <c r="L407" s="9"/>
      <c r="M407" s="9"/>
      <c r="N407" s="9"/>
      <c r="O407" s="9"/>
      <c r="P407" s="9"/>
      <c r="Q407" s="93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1"/>
      <c r="AL407" s="1"/>
      <c r="AM407" s="1"/>
      <c r="AN407" s="94"/>
      <c r="AO407" s="1"/>
      <c r="AP407" s="1"/>
      <c r="AQ407" s="1"/>
      <c r="AR407" s="1"/>
      <c r="AS407" s="1"/>
      <c r="AT407" s="1"/>
      <c r="AU407" s="1"/>
    </row>
    <row r="408" ht="10.5" customHeight="1">
      <c r="A408" s="1"/>
      <c r="B408" s="2"/>
      <c r="C408" s="1"/>
      <c r="D408" s="1"/>
      <c r="E408" s="1"/>
      <c r="F408" s="9"/>
      <c r="G408" s="9"/>
      <c r="H408" s="9"/>
      <c r="I408" s="9"/>
      <c r="J408" s="93"/>
      <c r="K408" s="9"/>
      <c r="L408" s="9"/>
      <c r="M408" s="9"/>
      <c r="N408" s="9"/>
      <c r="O408" s="9"/>
      <c r="P408" s="9"/>
      <c r="Q408" s="93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"/>
      <c r="AL408" s="1"/>
      <c r="AM408" s="1"/>
      <c r="AN408" s="94"/>
      <c r="AO408" s="1"/>
      <c r="AP408" s="1"/>
      <c r="AQ408" s="1"/>
      <c r="AR408" s="1"/>
      <c r="AS408" s="1"/>
      <c r="AT408" s="1"/>
      <c r="AU408" s="1"/>
    </row>
    <row r="409" ht="10.5" customHeight="1">
      <c r="A409" s="1"/>
      <c r="B409" s="2"/>
      <c r="C409" s="1"/>
      <c r="D409" s="1"/>
      <c r="E409" s="1"/>
      <c r="F409" s="9"/>
      <c r="G409" s="9"/>
      <c r="H409" s="9"/>
      <c r="I409" s="9"/>
      <c r="J409" s="93"/>
      <c r="K409" s="9"/>
      <c r="L409" s="9"/>
      <c r="M409" s="9"/>
      <c r="N409" s="9"/>
      <c r="O409" s="9"/>
      <c r="P409" s="9"/>
      <c r="Q409" s="93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"/>
      <c r="AL409" s="1"/>
      <c r="AM409" s="1"/>
      <c r="AN409" s="94"/>
      <c r="AO409" s="1"/>
      <c r="AP409" s="1"/>
      <c r="AQ409" s="1"/>
      <c r="AR409" s="1"/>
      <c r="AS409" s="1"/>
      <c r="AT409" s="1"/>
      <c r="AU409" s="1"/>
    </row>
    <row r="410" ht="10.5" customHeight="1">
      <c r="A410" s="1"/>
      <c r="B410" s="2"/>
      <c r="C410" s="1"/>
      <c r="D410" s="1"/>
      <c r="E410" s="1"/>
      <c r="F410" s="9"/>
      <c r="G410" s="9"/>
      <c r="H410" s="9"/>
      <c r="I410" s="9"/>
      <c r="J410" s="93"/>
      <c r="K410" s="9"/>
      <c r="L410" s="9"/>
      <c r="M410" s="9"/>
      <c r="N410" s="9"/>
      <c r="O410" s="9"/>
      <c r="P410" s="9"/>
      <c r="Q410" s="93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"/>
      <c r="AL410" s="1"/>
      <c r="AM410" s="1"/>
      <c r="AN410" s="94"/>
      <c r="AO410" s="1"/>
      <c r="AP410" s="1"/>
      <c r="AQ410" s="1"/>
      <c r="AR410" s="1"/>
      <c r="AS410" s="1"/>
      <c r="AT410" s="1"/>
      <c r="AU410" s="1"/>
    </row>
    <row r="411" ht="10.5" customHeight="1">
      <c r="A411" s="1"/>
      <c r="B411" s="2"/>
      <c r="C411" s="1"/>
      <c r="D411" s="1"/>
      <c r="E411" s="1"/>
      <c r="F411" s="9"/>
      <c r="G411" s="9"/>
      <c r="H411" s="9"/>
      <c r="I411" s="9"/>
      <c r="J411" s="93"/>
      <c r="K411" s="9"/>
      <c r="L411" s="9"/>
      <c r="M411" s="9"/>
      <c r="N411" s="9"/>
      <c r="O411" s="9"/>
      <c r="P411" s="9"/>
      <c r="Q411" s="93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1"/>
      <c r="AL411" s="1"/>
      <c r="AM411" s="1"/>
      <c r="AN411" s="94"/>
      <c r="AO411" s="1"/>
      <c r="AP411" s="1"/>
      <c r="AQ411" s="1"/>
      <c r="AR411" s="1"/>
      <c r="AS411" s="1"/>
      <c r="AT411" s="1"/>
      <c r="AU411" s="1"/>
    </row>
    <row r="412" ht="10.5" customHeight="1">
      <c r="A412" s="1"/>
      <c r="B412" s="2"/>
      <c r="C412" s="1"/>
      <c r="D412" s="1"/>
      <c r="E412" s="1"/>
      <c r="F412" s="9"/>
      <c r="G412" s="9"/>
      <c r="H412" s="9"/>
      <c r="I412" s="9"/>
      <c r="J412" s="93"/>
      <c r="K412" s="9"/>
      <c r="L412" s="9"/>
      <c r="M412" s="9"/>
      <c r="N412" s="9"/>
      <c r="O412" s="9"/>
      <c r="P412" s="9"/>
      <c r="Q412" s="93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1"/>
      <c r="AL412" s="1"/>
      <c r="AM412" s="1"/>
      <c r="AN412" s="94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2"/>
      <c r="C413" s="1"/>
      <c r="D413" s="1"/>
      <c r="E413" s="1"/>
      <c r="F413" s="9"/>
      <c r="G413" s="9"/>
      <c r="H413" s="9"/>
      <c r="I413" s="9"/>
      <c r="J413" s="93"/>
      <c r="K413" s="9"/>
      <c r="L413" s="9"/>
      <c r="M413" s="9"/>
      <c r="N413" s="9"/>
      <c r="O413" s="9"/>
      <c r="P413" s="9"/>
      <c r="Q413" s="93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1"/>
      <c r="AL413" s="1"/>
      <c r="AM413" s="1"/>
      <c r="AN413" s="94"/>
      <c r="AO413" s="1"/>
      <c r="AP413" s="1"/>
      <c r="AQ413" s="1"/>
      <c r="AR413" s="1"/>
      <c r="AS413" s="1"/>
      <c r="AT413" s="1"/>
      <c r="AU413" s="1"/>
    </row>
    <row r="414" ht="10.5" customHeight="1">
      <c r="A414" s="1"/>
      <c r="B414" s="2"/>
      <c r="C414" s="1"/>
      <c r="D414" s="1"/>
      <c r="E414" s="1"/>
      <c r="F414" s="9"/>
      <c r="G414" s="9"/>
      <c r="H414" s="9"/>
      <c r="I414" s="9"/>
      <c r="J414" s="93"/>
      <c r="K414" s="9"/>
      <c r="L414" s="9"/>
      <c r="M414" s="9"/>
      <c r="N414" s="9"/>
      <c r="O414" s="9"/>
      <c r="P414" s="9"/>
      <c r="Q414" s="93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"/>
      <c r="AL414" s="1"/>
      <c r="AM414" s="1"/>
      <c r="AN414" s="94"/>
      <c r="AO414" s="1"/>
      <c r="AP414" s="1"/>
      <c r="AQ414" s="1"/>
      <c r="AR414" s="1"/>
      <c r="AS414" s="1"/>
      <c r="AT414" s="1"/>
      <c r="AU414" s="1"/>
    </row>
    <row r="415" ht="10.5" customHeight="1">
      <c r="A415" s="1"/>
      <c r="B415" s="2"/>
      <c r="C415" s="1"/>
      <c r="D415" s="1"/>
      <c r="E415" s="1"/>
      <c r="F415" s="9"/>
      <c r="G415" s="9"/>
      <c r="H415" s="9"/>
      <c r="I415" s="9"/>
      <c r="J415" s="93"/>
      <c r="K415" s="9"/>
      <c r="L415" s="9"/>
      <c r="M415" s="9"/>
      <c r="N415" s="9"/>
      <c r="O415" s="9"/>
      <c r="P415" s="9"/>
      <c r="Q415" s="93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"/>
      <c r="AL415" s="1"/>
      <c r="AM415" s="1"/>
      <c r="AN415" s="94"/>
      <c r="AO415" s="1"/>
      <c r="AP415" s="1"/>
      <c r="AQ415" s="1"/>
      <c r="AR415" s="1"/>
      <c r="AS415" s="1"/>
      <c r="AT415" s="1"/>
      <c r="AU415" s="1"/>
    </row>
    <row r="416" ht="10.5" customHeight="1">
      <c r="A416" s="1"/>
      <c r="B416" s="2"/>
      <c r="C416" s="1"/>
      <c r="D416" s="1"/>
      <c r="E416" s="1"/>
      <c r="F416" s="9"/>
      <c r="G416" s="9"/>
      <c r="H416" s="9"/>
      <c r="I416" s="9"/>
      <c r="J416" s="93"/>
      <c r="K416" s="9"/>
      <c r="L416" s="9"/>
      <c r="M416" s="9"/>
      <c r="N416" s="9"/>
      <c r="O416" s="9"/>
      <c r="P416" s="9"/>
      <c r="Q416" s="93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"/>
      <c r="AL416" s="1"/>
      <c r="AM416" s="1"/>
      <c r="AN416" s="94"/>
      <c r="AO416" s="1"/>
      <c r="AP416" s="1"/>
      <c r="AQ416" s="1"/>
      <c r="AR416" s="1"/>
      <c r="AS416" s="1"/>
      <c r="AT416" s="1"/>
      <c r="AU416" s="1"/>
    </row>
    <row r="417" ht="10.5" customHeight="1">
      <c r="A417" s="1"/>
      <c r="B417" s="2"/>
      <c r="C417" s="1"/>
      <c r="D417" s="1"/>
      <c r="E417" s="1"/>
      <c r="F417" s="9"/>
      <c r="G417" s="9"/>
      <c r="H417" s="9"/>
      <c r="I417" s="9"/>
      <c r="J417" s="93"/>
      <c r="K417" s="9"/>
      <c r="L417" s="9"/>
      <c r="M417" s="9"/>
      <c r="N417" s="9"/>
      <c r="O417" s="9"/>
      <c r="P417" s="9"/>
      <c r="Q417" s="93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1"/>
      <c r="AL417" s="1"/>
      <c r="AM417" s="1"/>
      <c r="AN417" s="94"/>
      <c r="AO417" s="1"/>
      <c r="AP417" s="1"/>
      <c r="AQ417" s="1"/>
      <c r="AR417" s="1"/>
      <c r="AS417" s="1"/>
      <c r="AT417" s="1"/>
      <c r="AU417" s="1"/>
    </row>
    <row r="418" ht="10.5" customHeight="1">
      <c r="A418" s="1"/>
      <c r="B418" s="2"/>
      <c r="C418" s="1"/>
      <c r="D418" s="1"/>
      <c r="E418" s="1"/>
      <c r="F418" s="9"/>
      <c r="G418" s="9"/>
      <c r="H418" s="9"/>
      <c r="I418" s="9"/>
      <c r="J418" s="93"/>
      <c r="K418" s="9"/>
      <c r="L418" s="9"/>
      <c r="M418" s="9"/>
      <c r="N418" s="9"/>
      <c r="O418" s="9"/>
      <c r="P418" s="9"/>
      <c r="Q418" s="93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1"/>
      <c r="AL418" s="1"/>
      <c r="AM418" s="1"/>
      <c r="AN418" s="94"/>
      <c r="AO418" s="1"/>
      <c r="AP418" s="1"/>
      <c r="AQ418" s="1"/>
      <c r="AR418" s="1"/>
      <c r="AS418" s="1"/>
      <c r="AT418" s="1"/>
      <c r="AU418" s="1"/>
    </row>
    <row r="419" ht="10.5" customHeight="1">
      <c r="A419" s="1"/>
      <c r="B419" s="2"/>
      <c r="C419" s="1"/>
      <c r="D419" s="1"/>
      <c r="E419" s="1"/>
      <c r="F419" s="9"/>
      <c r="G419" s="9"/>
      <c r="H419" s="9"/>
      <c r="I419" s="9"/>
      <c r="J419" s="93"/>
      <c r="K419" s="9"/>
      <c r="L419" s="9"/>
      <c r="M419" s="9"/>
      <c r="N419" s="9"/>
      <c r="O419" s="9"/>
      <c r="P419" s="9"/>
      <c r="Q419" s="93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1"/>
      <c r="AL419" s="1"/>
      <c r="AM419" s="1"/>
      <c r="AN419" s="94"/>
      <c r="AO419" s="1"/>
      <c r="AP419" s="1"/>
      <c r="AQ419" s="1"/>
      <c r="AR419" s="1"/>
      <c r="AS419" s="1"/>
      <c r="AT419" s="1"/>
      <c r="AU419" s="1"/>
    </row>
    <row r="420" ht="10.5" customHeight="1">
      <c r="A420" s="1"/>
      <c r="B420" s="2"/>
      <c r="C420" s="1"/>
      <c r="D420" s="1"/>
      <c r="E420" s="1"/>
      <c r="F420" s="9"/>
      <c r="G420" s="9"/>
      <c r="H420" s="9"/>
      <c r="I420" s="9"/>
      <c r="J420" s="93"/>
      <c r="K420" s="9"/>
      <c r="L420" s="9"/>
      <c r="M420" s="9"/>
      <c r="N420" s="9"/>
      <c r="O420" s="9"/>
      <c r="P420" s="9"/>
      <c r="Q420" s="93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"/>
      <c r="AL420" s="1"/>
      <c r="AM420" s="1"/>
      <c r="AN420" s="94"/>
      <c r="AO420" s="1"/>
      <c r="AP420" s="1"/>
      <c r="AQ420" s="1"/>
      <c r="AR420" s="1"/>
      <c r="AS420" s="1"/>
      <c r="AT420" s="1"/>
      <c r="AU420" s="1"/>
    </row>
    <row r="421" ht="10.5" customHeight="1">
      <c r="A421" s="1"/>
      <c r="B421" s="2"/>
      <c r="C421" s="1"/>
      <c r="D421" s="1"/>
      <c r="E421" s="1"/>
      <c r="F421" s="9"/>
      <c r="G421" s="9"/>
      <c r="H421" s="9"/>
      <c r="I421" s="9"/>
      <c r="J421" s="93"/>
      <c r="K421" s="9"/>
      <c r="L421" s="9"/>
      <c r="M421" s="9"/>
      <c r="N421" s="9"/>
      <c r="O421" s="9"/>
      <c r="P421" s="9"/>
      <c r="Q421" s="93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"/>
      <c r="AL421" s="1"/>
      <c r="AM421" s="1"/>
      <c r="AN421" s="94"/>
      <c r="AO421" s="1"/>
      <c r="AP421" s="1"/>
      <c r="AQ421" s="1"/>
      <c r="AR421" s="1"/>
      <c r="AS421" s="1"/>
      <c r="AT421" s="1"/>
      <c r="AU421" s="1"/>
    </row>
    <row r="422" ht="10.5" customHeight="1">
      <c r="A422" s="1"/>
      <c r="B422" s="2"/>
      <c r="C422" s="1"/>
      <c r="D422" s="1"/>
      <c r="E422" s="1"/>
      <c r="F422" s="9"/>
      <c r="G422" s="9"/>
      <c r="H422" s="9"/>
      <c r="I422" s="9"/>
      <c r="J422" s="93"/>
      <c r="K422" s="9"/>
      <c r="L422" s="9"/>
      <c r="M422" s="9"/>
      <c r="N422" s="9"/>
      <c r="O422" s="9"/>
      <c r="P422" s="9"/>
      <c r="Q422" s="93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"/>
      <c r="AL422" s="1"/>
      <c r="AM422" s="1"/>
      <c r="AN422" s="94"/>
      <c r="AO422" s="1"/>
      <c r="AP422" s="1"/>
      <c r="AQ422" s="1"/>
      <c r="AR422" s="1"/>
      <c r="AS422" s="1"/>
      <c r="AT422" s="1"/>
      <c r="AU422" s="1"/>
    </row>
    <row r="423" ht="10.5" customHeight="1">
      <c r="A423" s="1"/>
      <c r="B423" s="2"/>
      <c r="C423" s="1"/>
      <c r="D423" s="1"/>
      <c r="E423" s="1"/>
      <c r="F423" s="9"/>
      <c r="G423" s="9"/>
      <c r="H423" s="9"/>
      <c r="I423" s="9"/>
      <c r="J423" s="93"/>
      <c r="K423" s="9"/>
      <c r="L423" s="9"/>
      <c r="M423" s="9"/>
      <c r="N423" s="9"/>
      <c r="O423" s="9"/>
      <c r="P423" s="9"/>
      <c r="Q423" s="93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1"/>
      <c r="AL423" s="1"/>
      <c r="AM423" s="1"/>
      <c r="AN423" s="94"/>
      <c r="AO423" s="1"/>
      <c r="AP423" s="1"/>
      <c r="AQ423" s="1"/>
      <c r="AR423" s="1"/>
      <c r="AS423" s="1"/>
      <c r="AT423" s="1"/>
      <c r="AU423" s="1"/>
    </row>
    <row r="424" ht="10.5" customHeight="1">
      <c r="A424" s="1"/>
      <c r="B424" s="2"/>
      <c r="C424" s="1"/>
      <c r="D424" s="1"/>
      <c r="E424" s="1"/>
      <c r="F424" s="9"/>
      <c r="G424" s="9"/>
      <c r="H424" s="9"/>
      <c r="I424" s="9"/>
      <c r="J424" s="93"/>
      <c r="K424" s="9"/>
      <c r="L424" s="9"/>
      <c r="M424" s="9"/>
      <c r="N424" s="9"/>
      <c r="O424" s="9"/>
      <c r="P424" s="9"/>
      <c r="Q424" s="93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1"/>
      <c r="AL424" s="1"/>
      <c r="AM424" s="1"/>
      <c r="AN424" s="94"/>
      <c r="AO424" s="1"/>
      <c r="AP424" s="1"/>
      <c r="AQ424" s="1"/>
      <c r="AR424" s="1"/>
      <c r="AS424" s="1"/>
      <c r="AT424" s="1"/>
      <c r="AU424" s="1"/>
    </row>
    <row r="425" ht="10.5" customHeight="1">
      <c r="A425" s="1"/>
      <c r="B425" s="2"/>
      <c r="C425" s="1"/>
      <c r="D425" s="1"/>
      <c r="E425" s="1"/>
      <c r="F425" s="9"/>
      <c r="G425" s="9"/>
      <c r="H425" s="9"/>
      <c r="I425" s="9"/>
      <c r="J425" s="93"/>
      <c r="K425" s="9"/>
      <c r="L425" s="9"/>
      <c r="M425" s="9"/>
      <c r="N425" s="9"/>
      <c r="O425" s="9"/>
      <c r="P425" s="9"/>
      <c r="Q425" s="93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1"/>
      <c r="AL425" s="1"/>
      <c r="AM425" s="1"/>
      <c r="AN425" s="94"/>
      <c r="AO425" s="1"/>
      <c r="AP425" s="1"/>
      <c r="AQ425" s="1"/>
      <c r="AR425" s="1"/>
      <c r="AS425" s="1"/>
      <c r="AT425" s="1"/>
      <c r="AU425" s="1"/>
    </row>
    <row r="426" ht="10.5" customHeight="1">
      <c r="A426" s="1"/>
      <c r="B426" s="2"/>
      <c r="C426" s="1"/>
      <c r="D426" s="1"/>
      <c r="E426" s="1"/>
      <c r="F426" s="9"/>
      <c r="G426" s="9"/>
      <c r="H426" s="9"/>
      <c r="I426" s="9"/>
      <c r="J426" s="93"/>
      <c r="K426" s="9"/>
      <c r="L426" s="9"/>
      <c r="M426" s="9"/>
      <c r="N426" s="9"/>
      <c r="O426" s="9"/>
      <c r="P426" s="9"/>
      <c r="Q426" s="93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"/>
      <c r="AL426" s="1"/>
      <c r="AM426" s="1"/>
      <c r="AN426" s="94"/>
      <c r="AO426" s="1"/>
      <c r="AP426" s="1"/>
      <c r="AQ426" s="1"/>
      <c r="AR426" s="1"/>
      <c r="AS426" s="1"/>
      <c r="AT426" s="1"/>
      <c r="AU426" s="1"/>
    </row>
    <row r="427" ht="10.5" customHeight="1">
      <c r="A427" s="1"/>
      <c r="B427" s="2"/>
      <c r="C427" s="1"/>
      <c r="D427" s="1"/>
      <c r="E427" s="1"/>
      <c r="F427" s="9"/>
      <c r="G427" s="9"/>
      <c r="H427" s="9"/>
      <c r="I427" s="9"/>
      <c r="J427" s="93"/>
      <c r="K427" s="9"/>
      <c r="L427" s="9"/>
      <c r="M427" s="9"/>
      <c r="N427" s="9"/>
      <c r="O427" s="9"/>
      <c r="P427" s="9"/>
      <c r="Q427" s="93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"/>
      <c r="AL427" s="1"/>
      <c r="AM427" s="1"/>
      <c r="AN427" s="94"/>
      <c r="AO427" s="1"/>
      <c r="AP427" s="1"/>
      <c r="AQ427" s="1"/>
      <c r="AR427" s="1"/>
      <c r="AS427" s="1"/>
      <c r="AT427" s="1"/>
      <c r="AU427" s="1"/>
    </row>
    <row r="428" ht="10.5" customHeight="1">
      <c r="A428" s="1"/>
      <c r="B428" s="2"/>
      <c r="C428" s="1"/>
      <c r="D428" s="1"/>
      <c r="E428" s="1"/>
      <c r="F428" s="9"/>
      <c r="G428" s="9"/>
      <c r="H428" s="9"/>
      <c r="I428" s="9"/>
      <c r="J428" s="93"/>
      <c r="K428" s="9"/>
      <c r="L428" s="9"/>
      <c r="M428" s="9"/>
      <c r="N428" s="9"/>
      <c r="O428" s="9"/>
      <c r="P428" s="9"/>
      <c r="Q428" s="93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"/>
      <c r="AL428" s="1"/>
      <c r="AM428" s="1"/>
      <c r="AN428" s="94"/>
      <c r="AO428" s="1"/>
      <c r="AP428" s="1"/>
      <c r="AQ428" s="1"/>
      <c r="AR428" s="1"/>
      <c r="AS428" s="1"/>
      <c r="AT428" s="1"/>
      <c r="AU428" s="1"/>
    </row>
    <row r="429" ht="10.5" customHeight="1">
      <c r="A429" s="1"/>
      <c r="B429" s="2"/>
      <c r="C429" s="1"/>
      <c r="D429" s="1"/>
      <c r="E429" s="1"/>
      <c r="F429" s="9"/>
      <c r="G429" s="9"/>
      <c r="H429" s="9"/>
      <c r="I429" s="9"/>
      <c r="J429" s="93"/>
      <c r="K429" s="9"/>
      <c r="L429" s="9"/>
      <c r="M429" s="9"/>
      <c r="N429" s="9"/>
      <c r="O429" s="9"/>
      <c r="P429" s="9"/>
      <c r="Q429" s="93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"/>
      <c r="AL429" s="1"/>
      <c r="AM429" s="1"/>
      <c r="AN429" s="94"/>
      <c r="AO429" s="1"/>
      <c r="AP429" s="1"/>
      <c r="AQ429" s="1"/>
      <c r="AR429" s="1"/>
      <c r="AS429" s="1"/>
      <c r="AT429" s="1"/>
      <c r="AU429" s="1"/>
    </row>
    <row r="430" ht="10.5" customHeight="1">
      <c r="A430" s="1"/>
      <c r="B430" s="2"/>
      <c r="C430" s="1"/>
      <c r="D430" s="1"/>
      <c r="E430" s="1"/>
      <c r="F430" s="9"/>
      <c r="G430" s="9"/>
      <c r="H430" s="9"/>
      <c r="I430" s="9"/>
      <c r="J430" s="93"/>
      <c r="K430" s="9"/>
      <c r="L430" s="9"/>
      <c r="M430" s="9"/>
      <c r="N430" s="9"/>
      <c r="O430" s="9"/>
      <c r="P430" s="9"/>
      <c r="Q430" s="93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"/>
      <c r="AL430" s="1"/>
      <c r="AM430" s="1"/>
      <c r="AN430" s="94"/>
      <c r="AO430" s="1"/>
      <c r="AP430" s="1"/>
      <c r="AQ430" s="1"/>
      <c r="AR430" s="1"/>
      <c r="AS430" s="1"/>
      <c r="AT430" s="1"/>
      <c r="AU430" s="1"/>
    </row>
    <row r="431" ht="10.5" customHeight="1">
      <c r="A431" s="1"/>
      <c r="B431" s="2"/>
      <c r="C431" s="1"/>
      <c r="D431" s="1"/>
      <c r="E431" s="1"/>
      <c r="F431" s="9"/>
      <c r="G431" s="9"/>
      <c r="H431" s="9"/>
      <c r="I431" s="9"/>
      <c r="J431" s="93"/>
      <c r="K431" s="9"/>
      <c r="L431" s="9"/>
      <c r="M431" s="9"/>
      <c r="N431" s="9"/>
      <c r="O431" s="9"/>
      <c r="P431" s="9"/>
      <c r="Q431" s="93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"/>
      <c r="AL431" s="1"/>
      <c r="AM431" s="1"/>
      <c r="AN431" s="94"/>
      <c r="AO431" s="1"/>
      <c r="AP431" s="1"/>
      <c r="AQ431" s="1"/>
      <c r="AR431" s="1"/>
      <c r="AS431" s="1"/>
      <c r="AT431" s="1"/>
      <c r="AU431" s="1"/>
    </row>
    <row r="432" ht="10.5" customHeight="1">
      <c r="A432" s="1"/>
      <c r="B432" s="2"/>
      <c r="C432" s="1"/>
      <c r="D432" s="1"/>
      <c r="E432" s="1"/>
      <c r="F432" s="9"/>
      <c r="G432" s="9"/>
      <c r="H432" s="9"/>
      <c r="I432" s="9"/>
      <c r="J432" s="93"/>
      <c r="K432" s="9"/>
      <c r="L432" s="9"/>
      <c r="M432" s="9"/>
      <c r="N432" s="9"/>
      <c r="O432" s="9"/>
      <c r="P432" s="9"/>
      <c r="Q432" s="93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"/>
      <c r="AL432" s="1"/>
      <c r="AM432" s="1"/>
      <c r="AN432" s="94"/>
      <c r="AO432" s="1"/>
      <c r="AP432" s="1"/>
      <c r="AQ432" s="1"/>
      <c r="AR432" s="1"/>
      <c r="AS432" s="1"/>
      <c r="AT432" s="1"/>
      <c r="AU432" s="1"/>
    </row>
    <row r="433" ht="10.5" customHeight="1">
      <c r="A433" s="1"/>
      <c r="B433" s="2"/>
      <c r="C433" s="1"/>
      <c r="D433" s="1"/>
      <c r="E433" s="1"/>
      <c r="F433" s="9"/>
      <c r="G433" s="9"/>
      <c r="H433" s="9"/>
      <c r="I433" s="9"/>
      <c r="J433" s="93"/>
      <c r="K433" s="9"/>
      <c r="L433" s="9"/>
      <c r="M433" s="9"/>
      <c r="N433" s="9"/>
      <c r="O433" s="9"/>
      <c r="P433" s="9"/>
      <c r="Q433" s="93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"/>
      <c r="AL433" s="1"/>
      <c r="AM433" s="1"/>
      <c r="AN433" s="94"/>
      <c r="AO433" s="1"/>
      <c r="AP433" s="1"/>
      <c r="AQ433" s="1"/>
      <c r="AR433" s="1"/>
      <c r="AS433" s="1"/>
      <c r="AT433" s="1"/>
      <c r="AU433" s="1"/>
    </row>
    <row r="434" ht="10.5" customHeight="1">
      <c r="A434" s="1"/>
      <c r="B434" s="2"/>
      <c r="C434" s="1"/>
      <c r="D434" s="1"/>
      <c r="E434" s="1"/>
      <c r="F434" s="9"/>
      <c r="G434" s="9"/>
      <c r="H434" s="9"/>
      <c r="I434" s="9"/>
      <c r="J434" s="93"/>
      <c r="K434" s="9"/>
      <c r="L434" s="9"/>
      <c r="M434" s="9"/>
      <c r="N434" s="9"/>
      <c r="O434" s="9"/>
      <c r="P434" s="9"/>
      <c r="Q434" s="93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"/>
      <c r="AL434" s="1"/>
      <c r="AM434" s="1"/>
      <c r="AN434" s="94"/>
      <c r="AO434" s="1"/>
      <c r="AP434" s="1"/>
      <c r="AQ434" s="1"/>
      <c r="AR434" s="1"/>
      <c r="AS434" s="1"/>
      <c r="AT434" s="1"/>
      <c r="AU434" s="1"/>
    </row>
    <row r="435" ht="10.5" customHeight="1">
      <c r="A435" s="1"/>
      <c r="B435" s="2"/>
      <c r="C435" s="1"/>
      <c r="D435" s="1"/>
      <c r="E435" s="1"/>
      <c r="F435" s="9"/>
      <c r="G435" s="9"/>
      <c r="H435" s="9"/>
      <c r="I435" s="9"/>
      <c r="J435" s="93"/>
      <c r="K435" s="9"/>
      <c r="L435" s="9"/>
      <c r="M435" s="9"/>
      <c r="N435" s="9"/>
      <c r="O435" s="9"/>
      <c r="P435" s="9"/>
      <c r="Q435" s="93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"/>
      <c r="AL435" s="1"/>
      <c r="AM435" s="1"/>
      <c r="AN435" s="94"/>
      <c r="AO435" s="1"/>
      <c r="AP435" s="1"/>
      <c r="AQ435" s="1"/>
      <c r="AR435" s="1"/>
      <c r="AS435" s="1"/>
      <c r="AT435" s="1"/>
      <c r="AU435" s="1"/>
    </row>
    <row r="436" ht="10.5" customHeight="1">
      <c r="A436" s="1"/>
      <c r="B436" s="2"/>
      <c r="C436" s="1"/>
      <c r="D436" s="1"/>
      <c r="E436" s="1"/>
      <c r="F436" s="9"/>
      <c r="G436" s="9"/>
      <c r="H436" s="9"/>
      <c r="I436" s="9"/>
      <c r="J436" s="93"/>
      <c r="K436" s="9"/>
      <c r="L436" s="9"/>
      <c r="M436" s="9"/>
      <c r="N436" s="9"/>
      <c r="O436" s="9"/>
      <c r="P436" s="9"/>
      <c r="Q436" s="93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"/>
      <c r="AL436" s="1"/>
      <c r="AM436" s="1"/>
      <c r="AN436" s="94"/>
      <c r="AO436" s="1"/>
      <c r="AP436" s="1"/>
      <c r="AQ436" s="1"/>
      <c r="AR436" s="1"/>
      <c r="AS436" s="1"/>
      <c r="AT436" s="1"/>
      <c r="AU436" s="1"/>
    </row>
    <row r="437" ht="10.5" customHeight="1">
      <c r="A437" s="1"/>
      <c r="B437" s="2"/>
      <c r="C437" s="1"/>
      <c r="D437" s="1"/>
      <c r="E437" s="1"/>
      <c r="F437" s="9"/>
      <c r="G437" s="9"/>
      <c r="H437" s="9"/>
      <c r="I437" s="9"/>
      <c r="J437" s="93"/>
      <c r="K437" s="9"/>
      <c r="L437" s="9"/>
      <c r="M437" s="9"/>
      <c r="N437" s="9"/>
      <c r="O437" s="9"/>
      <c r="P437" s="9"/>
      <c r="Q437" s="93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"/>
      <c r="AL437" s="1"/>
      <c r="AM437" s="1"/>
      <c r="AN437" s="94"/>
      <c r="AO437" s="1"/>
      <c r="AP437" s="1"/>
      <c r="AQ437" s="1"/>
      <c r="AR437" s="1"/>
      <c r="AS437" s="1"/>
      <c r="AT437" s="1"/>
      <c r="AU437" s="1"/>
    </row>
    <row r="438" ht="10.5" customHeight="1">
      <c r="A438" s="1"/>
      <c r="B438" s="2"/>
      <c r="C438" s="1"/>
      <c r="D438" s="1"/>
      <c r="E438" s="1"/>
      <c r="F438" s="9"/>
      <c r="G438" s="9"/>
      <c r="H438" s="9"/>
      <c r="I438" s="9"/>
      <c r="J438" s="93"/>
      <c r="K438" s="9"/>
      <c r="L438" s="9"/>
      <c r="M438" s="9"/>
      <c r="N438" s="9"/>
      <c r="O438" s="9"/>
      <c r="P438" s="9"/>
      <c r="Q438" s="93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"/>
      <c r="AL438" s="1"/>
      <c r="AM438" s="1"/>
      <c r="AN438" s="94"/>
      <c r="AO438" s="1"/>
      <c r="AP438" s="1"/>
      <c r="AQ438" s="1"/>
      <c r="AR438" s="1"/>
      <c r="AS438" s="1"/>
      <c r="AT438" s="1"/>
      <c r="AU438" s="1"/>
    </row>
    <row r="439" ht="10.5" customHeight="1">
      <c r="A439" s="1"/>
      <c r="B439" s="2"/>
      <c r="C439" s="1"/>
      <c r="D439" s="1"/>
      <c r="E439" s="1"/>
      <c r="F439" s="9"/>
      <c r="G439" s="9"/>
      <c r="H439" s="9"/>
      <c r="I439" s="9"/>
      <c r="J439" s="93"/>
      <c r="K439" s="9"/>
      <c r="L439" s="9"/>
      <c r="M439" s="9"/>
      <c r="N439" s="9"/>
      <c r="O439" s="9"/>
      <c r="P439" s="9"/>
      <c r="Q439" s="93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"/>
      <c r="AL439" s="1"/>
      <c r="AM439" s="1"/>
      <c r="AN439" s="94"/>
      <c r="AO439" s="1"/>
      <c r="AP439" s="1"/>
      <c r="AQ439" s="1"/>
      <c r="AR439" s="1"/>
      <c r="AS439" s="1"/>
      <c r="AT439" s="1"/>
      <c r="AU439" s="1"/>
    </row>
    <row r="440" ht="10.5" customHeight="1">
      <c r="A440" s="1"/>
      <c r="B440" s="2"/>
      <c r="C440" s="1"/>
      <c r="D440" s="1"/>
      <c r="E440" s="1"/>
      <c r="F440" s="9"/>
      <c r="G440" s="9"/>
      <c r="H440" s="9"/>
      <c r="I440" s="9"/>
      <c r="J440" s="93"/>
      <c r="K440" s="9"/>
      <c r="L440" s="9"/>
      <c r="M440" s="9"/>
      <c r="N440" s="9"/>
      <c r="O440" s="9"/>
      <c r="P440" s="9"/>
      <c r="Q440" s="93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"/>
      <c r="AL440" s="1"/>
      <c r="AM440" s="1"/>
      <c r="AN440" s="94"/>
      <c r="AO440" s="1"/>
      <c r="AP440" s="1"/>
      <c r="AQ440" s="1"/>
      <c r="AR440" s="1"/>
      <c r="AS440" s="1"/>
      <c r="AT440" s="1"/>
      <c r="AU440" s="1"/>
    </row>
    <row r="441" ht="10.5" customHeight="1">
      <c r="A441" s="1"/>
      <c r="B441" s="2"/>
      <c r="C441" s="1"/>
      <c r="D441" s="1"/>
      <c r="E441" s="1"/>
      <c r="F441" s="9"/>
      <c r="G441" s="9"/>
      <c r="H441" s="9"/>
      <c r="I441" s="9"/>
      <c r="J441" s="93"/>
      <c r="K441" s="9"/>
      <c r="L441" s="9"/>
      <c r="M441" s="9"/>
      <c r="N441" s="9"/>
      <c r="O441" s="9"/>
      <c r="P441" s="9"/>
      <c r="Q441" s="93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"/>
      <c r="AL441" s="1"/>
      <c r="AM441" s="1"/>
      <c r="AN441" s="94"/>
      <c r="AO441" s="1"/>
      <c r="AP441" s="1"/>
      <c r="AQ441" s="1"/>
      <c r="AR441" s="1"/>
      <c r="AS441" s="1"/>
      <c r="AT441" s="1"/>
      <c r="AU441" s="1"/>
    </row>
    <row r="442" ht="10.5" customHeight="1">
      <c r="A442" s="1"/>
      <c r="B442" s="2"/>
      <c r="C442" s="1"/>
      <c r="D442" s="1"/>
      <c r="E442" s="1"/>
      <c r="F442" s="9"/>
      <c r="G442" s="9"/>
      <c r="H442" s="9"/>
      <c r="I442" s="9"/>
      <c r="J442" s="93"/>
      <c r="K442" s="9"/>
      <c r="L442" s="9"/>
      <c r="M442" s="9"/>
      <c r="N442" s="9"/>
      <c r="O442" s="9"/>
      <c r="P442" s="9"/>
      <c r="Q442" s="93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"/>
      <c r="AL442" s="1"/>
      <c r="AM442" s="1"/>
      <c r="AN442" s="94"/>
      <c r="AO442" s="1"/>
      <c r="AP442" s="1"/>
      <c r="AQ442" s="1"/>
      <c r="AR442" s="1"/>
      <c r="AS442" s="1"/>
      <c r="AT442" s="1"/>
      <c r="AU442" s="1"/>
    </row>
    <row r="443" ht="10.5" customHeight="1">
      <c r="A443" s="1"/>
      <c r="B443" s="2"/>
      <c r="C443" s="1"/>
      <c r="D443" s="1"/>
      <c r="E443" s="1"/>
      <c r="F443" s="9"/>
      <c r="G443" s="9"/>
      <c r="H443" s="9"/>
      <c r="I443" s="9"/>
      <c r="J443" s="93"/>
      <c r="K443" s="9"/>
      <c r="L443" s="9"/>
      <c r="M443" s="9"/>
      <c r="N443" s="9"/>
      <c r="O443" s="9"/>
      <c r="P443" s="9"/>
      <c r="Q443" s="93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"/>
      <c r="AL443" s="1"/>
      <c r="AM443" s="1"/>
      <c r="AN443" s="94"/>
      <c r="AO443" s="1"/>
      <c r="AP443" s="1"/>
      <c r="AQ443" s="1"/>
      <c r="AR443" s="1"/>
      <c r="AS443" s="1"/>
      <c r="AT443" s="1"/>
      <c r="AU443" s="1"/>
    </row>
    <row r="444" ht="10.5" customHeight="1">
      <c r="A444" s="1"/>
      <c r="B444" s="2"/>
      <c r="C444" s="1"/>
      <c r="D444" s="1"/>
      <c r="E444" s="1"/>
      <c r="F444" s="9"/>
      <c r="G444" s="9"/>
      <c r="H444" s="9"/>
      <c r="I444" s="9"/>
      <c r="J444" s="93"/>
      <c r="K444" s="9"/>
      <c r="L444" s="9"/>
      <c r="M444" s="9"/>
      <c r="N444" s="9"/>
      <c r="O444" s="9"/>
      <c r="P444" s="9"/>
      <c r="Q444" s="93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"/>
      <c r="AL444" s="1"/>
      <c r="AM444" s="1"/>
      <c r="AN444" s="94"/>
      <c r="AO444" s="1"/>
      <c r="AP444" s="1"/>
      <c r="AQ444" s="1"/>
      <c r="AR444" s="1"/>
      <c r="AS444" s="1"/>
      <c r="AT444" s="1"/>
      <c r="AU444" s="1"/>
    </row>
    <row r="445" ht="10.5" customHeight="1">
      <c r="A445" s="1"/>
      <c r="B445" s="2"/>
      <c r="C445" s="1"/>
      <c r="D445" s="1"/>
      <c r="E445" s="1"/>
      <c r="F445" s="9"/>
      <c r="G445" s="9"/>
      <c r="H445" s="9"/>
      <c r="I445" s="9"/>
      <c r="J445" s="93"/>
      <c r="K445" s="9"/>
      <c r="L445" s="9"/>
      <c r="M445" s="9"/>
      <c r="N445" s="9"/>
      <c r="O445" s="9"/>
      <c r="P445" s="9"/>
      <c r="Q445" s="93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"/>
      <c r="AL445" s="1"/>
      <c r="AM445" s="1"/>
      <c r="AN445" s="94"/>
      <c r="AO445" s="1"/>
      <c r="AP445" s="1"/>
      <c r="AQ445" s="1"/>
      <c r="AR445" s="1"/>
      <c r="AS445" s="1"/>
      <c r="AT445" s="1"/>
      <c r="AU445" s="1"/>
    </row>
    <row r="446" ht="10.5" customHeight="1">
      <c r="A446" s="1"/>
      <c r="B446" s="2"/>
      <c r="C446" s="1"/>
      <c r="D446" s="1"/>
      <c r="E446" s="1"/>
      <c r="F446" s="9"/>
      <c r="G446" s="9"/>
      <c r="H446" s="9"/>
      <c r="I446" s="9"/>
      <c r="J446" s="93"/>
      <c r="K446" s="9"/>
      <c r="L446" s="9"/>
      <c r="M446" s="9"/>
      <c r="N446" s="9"/>
      <c r="O446" s="9"/>
      <c r="P446" s="9"/>
      <c r="Q446" s="93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"/>
      <c r="AL446" s="1"/>
      <c r="AM446" s="1"/>
      <c r="AN446" s="94"/>
      <c r="AO446" s="1"/>
      <c r="AP446" s="1"/>
      <c r="AQ446" s="1"/>
      <c r="AR446" s="1"/>
      <c r="AS446" s="1"/>
      <c r="AT446" s="1"/>
      <c r="AU446" s="1"/>
    </row>
    <row r="447" ht="10.5" customHeight="1">
      <c r="A447" s="1"/>
      <c r="B447" s="2"/>
      <c r="C447" s="1"/>
      <c r="D447" s="1"/>
      <c r="E447" s="1"/>
      <c r="F447" s="9"/>
      <c r="G447" s="9"/>
      <c r="H447" s="9"/>
      <c r="I447" s="9"/>
      <c r="J447" s="93"/>
      <c r="K447" s="9"/>
      <c r="L447" s="9"/>
      <c r="M447" s="9"/>
      <c r="N447" s="9"/>
      <c r="O447" s="9"/>
      <c r="P447" s="9"/>
      <c r="Q447" s="93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"/>
      <c r="AL447" s="1"/>
      <c r="AM447" s="1"/>
      <c r="AN447" s="94"/>
      <c r="AO447" s="1"/>
      <c r="AP447" s="1"/>
      <c r="AQ447" s="1"/>
      <c r="AR447" s="1"/>
      <c r="AS447" s="1"/>
      <c r="AT447" s="1"/>
      <c r="AU447" s="1"/>
    </row>
    <row r="448" ht="10.5" customHeight="1">
      <c r="A448" s="1"/>
      <c r="B448" s="2"/>
      <c r="C448" s="1"/>
      <c r="D448" s="1"/>
      <c r="E448" s="1"/>
      <c r="F448" s="9"/>
      <c r="G448" s="9"/>
      <c r="H448" s="9"/>
      <c r="I448" s="9"/>
      <c r="J448" s="93"/>
      <c r="K448" s="9"/>
      <c r="L448" s="9"/>
      <c r="M448" s="9"/>
      <c r="N448" s="9"/>
      <c r="O448" s="9"/>
      <c r="P448" s="9"/>
      <c r="Q448" s="93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"/>
      <c r="AL448" s="1"/>
      <c r="AM448" s="1"/>
      <c r="AN448" s="94"/>
      <c r="AO448" s="1"/>
      <c r="AP448" s="1"/>
      <c r="AQ448" s="1"/>
      <c r="AR448" s="1"/>
      <c r="AS448" s="1"/>
      <c r="AT448" s="1"/>
      <c r="AU448" s="1"/>
    </row>
    <row r="449" ht="10.5" customHeight="1">
      <c r="A449" s="1"/>
      <c r="B449" s="2"/>
      <c r="C449" s="1"/>
      <c r="D449" s="1"/>
      <c r="E449" s="1"/>
      <c r="F449" s="9"/>
      <c r="G449" s="9"/>
      <c r="H449" s="9"/>
      <c r="I449" s="9"/>
      <c r="J449" s="93"/>
      <c r="K449" s="9"/>
      <c r="L449" s="9"/>
      <c r="M449" s="9"/>
      <c r="N449" s="9"/>
      <c r="O449" s="9"/>
      <c r="P449" s="9"/>
      <c r="Q449" s="93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"/>
      <c r="AL449" s="1"/>
      <c r="AM449" s="1"/>
      <c r="AN449" s="94"/>
      <c r="AO449" s="1"/>
      <c r="AP449" s="1"/>
      <c r="AQ449" s="1"/>
      <c r="AR449" s="1"/>
      <c r="AS449" s="1"/>
      <c r="AT449" s="1"/>
      <c r="AU449" s="1"/>
    </row>
    <row r="450" ht="10.5" customHeight="1">
      <c r="A450" s="1"/>
      <c r="B450" s="2"/>
      <c r="C450" s="1"/>
      <c r="D450" s="1"/>
      <c r="E450" s="1"/>
      <c r="F450" s="9"/>
      <c r="G450" s="9"/>
      <c r="H450" s="9"/>
      <c r="I450" s="9"/>
      <c r="J450" s="93"/>
      <c r="K450" s="9"/>
      <c r="L450" s="9"/>
      <c r="M450" s="9"/>
      <c r="N450" s="9"/>
      <c r="O450" s="9"/>
      <c r="P450" s="9"/>
      <c r="Q450" s="93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"/>
      <c r="AL450" s="1"/>
      <c r="AM450" s="1"/>
      <c r="AN450" s="94"/>
      <c r="AO450" s="1"/>
      <c r="AP450" s="1"/>
      <c r="AQ450" s="1"/>
      <c r="AR450" s="1"/>
      <c r="AS450" s="1"/>
      <c r="AT450" s="1"/>
      <c r="AU450" s="1"/>
    </row>
    <row r="451" ht="10.5" customHeight="1">
      <c r="A451" s="1"/>
      <c r="B451" s="2"/>
      <c r="C451" s="1"/>
      <c r="D451" s="1"/>
      <c r="E451" s="1"/>
      <c r="F451" s="9"/>
      <c r="G451" s="9"/>
      <c r="H451" s="9"/>
      <c r="I451" s="9"/>
      <c r="J451" s="93"/>
      <c r="K451" s="9"/>
      <c r="L451" s="9"/>
      <c r="M451" s="9"/>
      <c r="N451" s="9"/>
      <c r="O451" s="9"/>
      <c r="P451" s="9"/>
      <c r="Q451" s="93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"/>
      <c r="AL451" s="1"/>
      <c r="AM451" s="1"/>
      <c r="AN451" s="94"/>
      <c r="AO451" s="1"/>
      <c r="AP451" s="1"/>
      <c r="AQ451" s="1"/>
      <c r="AR451" s="1"/>
      <c r="AS451" s="1"/>
      <c r="AT451" s="1"/>
      <c r="AU451" s="1"/>
    </row>
    <row r="452" ht="10.5" customHeight="1">
      <c r="A452" s="1"/>
      <c r="B452" s="2"/>
      <c r="C452" s="1"/>
      <c r="D452" s="1"/>
      <c r="E452" s="1"/>
      <c r="F452" s="9"/>
      <c r="G452" s="9"/>
      <c r="H452" s="9"/>
      <c r="I452" s="9"/>
      <c r="J452" s="93"/>
      <c r="K452" s="9"/>
      <c r="L452" s="9"/>
      <c r="M452" s="9"/>
      <c r="N452" s="9"/>
      <c r="O452" s="9"/>
      <c r="P452" s="9"/>
      <c r="Q452" s="93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"/>
      <c r="AL452" s="1"/>
      <c r="AM452" s="1"/>
      <c r="AN452" s="94"/>
      <c r="AO452" s="1"/>
      <c r="AP452" s="1"/>
      <c r="AQ452" s="1"/>
      <c r="AR452" s="1"/>
      <c r="AS452" s="1"/>
      <c r="AT452" s="1"/>
      <c r="AU452" s="1"/>
    </row>
    <row r="453" ht="10.5" customHeight="1">
      <c r="A453" s="1"/>
      <c r="B453" s="2"/>
      <c r="C453" s="1"/>
      <c r="D453" s="1"/>
      <c r="E453" s="1"/>
      <c r="F453" s="9"/>
      <c r="G453" s="9"/>
      <c r="H453" s="9"/>
      <c r="I453" s="9"/>
      <c r="J453" s="93"/>
      <c r="K453" s="9"/>
      <c r="L453" s="9"/>
      <c r="M453" s="9"/>
      <c r="N453" s="9"/>
      <c r="O453" s="9"/>
      <c r="P453" s="9"/>
      <c r="Q453" s="93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"/>
      <c r="AL453" s="1"/>
      <c r="AM453" s="1"/>
      <c r="AN453" s="94"/>
      <c r="AO453" s="1"/>
      <c r="AP453" s="1"/>
      <c r="AQ453" s="1"/>
      <c r="AR453" s="1"/>
      <c r="AS453" s="1"/>
      <c r="AT453" s="1"/>
      <c r="AU453" s="1"/>
    </row>
    <row r="454" ht="10.5" customHeight="1">
      <c r="A454" s="1"/>
      <c r="B454" s="2"/>
      <c r="C454" s="1"/>
      <c r="D454" s="1"/>
      <c r="E454" s="1"/>
      <c r="F454" s="9"/>
      <c r="G454" s="9"/>
      <c r="H454" s="9"/>
      <c r="I454" s="9"/>
      <c r="J454" s="93"/>
      <c r="K454" s="9"/>
      <c r="L454" s="9"/>
      <c r="M454" s="9"/>
      <c r="N454" s="9"/>
      <c r="O454" s="9"/>
      <c r="P454" s="9"/>
      <c r="Q454" s="93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"/>
      <c r="AL454" s="1"/>
      <c r="AM454" s="1"/>
      <c r="AN454" s="94"/>
      <c r="AO454" s="1"/>
      <c r="AP454" s="1"/>
      <c r="AQ454" s="1"/>
      <c r="AR454" s="1"/>
      <c r="AS454" s="1"/>
      <c r="AT454" s="1"/>
      <c r="AU454" s="1"/>
    </row>
    <row r="455" ht="10.5" customHeight="1">
      <c r="A455" s="1"/>
      <c r="B455" s="2"/>
      <c r="C455" s="1"/>
      <c r="D455" s="1"/>
      <c r="E455" s="1"/>
      <c r="F455" s="9"/>
      <c r="G455" s="9"/>
      <c r="H455" s="9"/>
      <c r="I455" s="9"/>
      <c r="J455" s="93"/>
      <c r="K455" s="9"/>
      <c r="L455" s="9"/>
      <c r="M455" s="9"/>
      <c r="N455" s="9"/>
      <c r="O455" s="9"/>
      <c r="P455" s="9"/>
      <c r="Q455" s="93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"/>
      <c r="AL455" s="1"/>
      <c r="AM455" s="1"/>
      <c r="AN455" s="94"/>
      <c r="AO455" s="1"/>
      <c r="AP455" s="1"/>
      <c r="AQ455" s="1"/>
      <c r="AR455" s="1"/>
      <c r="AS455" s="1"/>
      <c r="AT455" s="1"/>
      <c r="AU455" s="1"/>
    </row>
    <row r="456" ht="10.5" customHeight="1">
      <c r="A456" s="1"/>
      <c r="B456" s="2"/>
      <c r="C456" s="1"/>
      <c r="D456" s="1"/>
      <c r="E456" s="1"/>
      <c r="F456" s="9"/>
      <c r="G456" s="9"/>
      <c r="H456" s="9"/>
      <c r="I456" s="9"/>
      <c r="J456" s="93"/>
      <c r="K456" s="9"/>
      <c r="L456" s="9"/>
      <c r="M456" s="9"/>
      <c r="N456" s="9"/>
      <c r="O456" s="9"/>
      <c r="P456" s="9"/>
      <c r="Q456" s="93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"/>
      <c r="AL456" s="1"/>
      <c r="AM456" s="1"/>
      <c r="AN456" s="94"/>
      <c r="AO456" s="1"/>
      <c r="AP456" s="1"/>
      <c r="AQ456" s="1"/>
      <c r="AR456" s="1"/>
      <c r="AS456" s="1"/>
      <c r="AT456" s="1"/>
      <c r="AU456" s="1"/>
    </row>
    <row r="457" ht="10.5" customHeight="1">
      <c r="A457" s="1"/>
      <c r="B457" s="2"/>
      <c r="C457" s="1"/>
      <c r="D457" s="1"/>
      <c r="E457" s="1"/>
      <c r="F457" s="9"/>
      <c r="G457" s="9"/>
      <c r="H457" s="9"/>
      <c r="I457" s="9"/>
      <c r="J457" s="93"/>
      <c r="K457" s="9"/>
      <c r="L457" s="9"/>
      <c r="M457" s="9"/>
      <c r="N457" s="9"/>
      <c r="O457" s="9"/>
      <c r="P457" s="9"/>
      <c r="Q457" s="93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1"/>
      <c r="AL457" s="1"/>
      <c r="AM457" s="1"/>
      <c r="AN457" s="94"/>
      <c r="AO457" s="1"/>
      <c r="AP457" s="1"/>
      <c r="AQ457" s="1"/>
      <c r="AR457" s="1"/>
      <c r="AS457" s="1"/>
      <c r="AT457" s="1"/>
      <c r="AU457" s="1"/>
    </row>
    <row r="458" ht="10.5" customHeight="1">
      <c r="A458" s="1"/>
      <c r="B458" s="2"/>
      <c r="C458" s="1"/>
      <c r="D458" s="1"/>
      <c r="E458" s="1"/>
      <c r="F458" s="9"/>
      <c r="G458" s="9"/>
      <c r="H458" s="9"/>
      <c r="I458" s="9"/>
      <c r="J458" s="93"/>
      <c r="K458" s="9"/>
      <c r="L458" s="9"/>
      <c r="M458" s="9"/>
      <c r="N458" s="9"/>
      <c r="O458" s="9"/>
      <c r="P458" s="9"/>
      <c r="Q458" s="93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1"/>
      <c r="AL458" s="1"/>
      <c r="AM458" s="1"/>
      <c r="AN458" s="94"/>
      <c r="AO458" s="1"/>
      <c r="AP458" s="1"/>
      <c r="AQ458" s="1"/>
      <c r="AR458" s="1"/>
      <c r="AS458" s="1"/>
      <c r="AT458" s="1"/>
      <c r="AU458" s="1"/>
    </row>
    <row r="459" ht="10.5" customHeight="1">
      <c r="A459" s="1"/>
      <c r="B459" s="2"/>
      <c r="C459" s="1"/>
      <c r="D459" s="1"/>
      <c r="E459" s="1"/>
      <c r="F459" s="9"/>
      <c r="G459" s="9"/>
      <c r="H459" s="9"/>
      <c r="I459" s="9"/>
      <c r="J459" s="93"/>
      <c r="K459" s="9"/>
      <c r="L459" s="9"/>
      <c r="M459" s="9"/>
      <c r="N459" s="9"/>
      <c r="O459" s="9"/>
      <c r="P459" s="9"/>
      <c r="Q459" s="93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1"/>
      <c r="AL459" s="1"/>
      <c r="AM459" s="1"/>
      <c r="AN459" s="94"/>
      <c r="AO459" s="1"/>
      <c r="AP459" s="1"/>
      <c r="AQ459" s="1"/>
      <c r="AR459" s="1"/>
      <c r="AS459" s="1"/>
      <c r="AT459" s="1"/>
      <c r="AU459" s="1"/>
    </row>
    <row r="460" ht="10.5" customHeight="1">
      <c r="A460" s="1"/>
      <c r="B460" s="2"/>
      <c r="C460" s="1"/>
      <c r="D460" s="1"/>
      <c r="E460" s="1"/>
      <c r="F460" s="9"/>
      <c r="G460" s="9"/>
      <c r="H460" s="9"/>
      <c r="I460" s="9"/>
      <c r="J460" s="93"/>
      <c r="K460" s="9"/>
      <c r="L460" s="9"/>
      <c r="M460" s="9"/>
      <c r="N460" s="9"/>
      <c r="O460" s="9"/>
      <c r="P460" s="9"/>
      <c r="Q460" s="93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1"/>
      <c r="AL460" s="1"/>
      <c r="AM460" s="1"/>
      <c r="AN460" s="94"/>
      <c r="AO460" s="1"/>
      <c r="AP460" s="1"/>
      <c r="AQ460" s="1"/>
      <c r="AR460" s="1"/>
      <c r="AS460" s="1"/>
      <c r="AT460" s="1"/>
      <c r="AU460" s="1"/>
    </row>
    <row r="461" ht="10.5" customHeight="1">
      <c r="A461" s="1"/>
      <c r="B461" s="2"/>
      <c r="C461" s="1"/>
      <c r="D461" s="1"/>
      <c r="E461" s="1"/>
      <c r="F461" s="9"/>
      <c r="G461" s="9"/>
      <c r="H461" s="9"/>
      <c r="I461" s="9"/>
      <c r="J461" s="93"/>
      <c r="K461" s="9"/>
      <c r="L461" s="9"/>
      <c r="M461" s="9"/>
      <c r="N461" s="9"/>
      <c r="O461" s="9"/>
      <c r="P461" s="9"/>
      <c r="Q461" s="93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1"/>
      <c r="AL461" s="1"/>
      <c r="AM461" s="1"/>
      <c r="AN461" s="94"/>
      <c r="AO461" s="1"/>
      <c r="AP461" s="1"/>
      <c r="AQ461" s="1"/>
      <c r="AR461" s="1"/>
      <c r="AS461" s="1"/>
      <c r="AT461" s="1"/>
      <c r="AU461" s="1"/>
    </row>
    <row r="462" ht="10.5" customHeight="1">
      <c r="A462" s="1"/>
      <c r="B462" s="2"/>
      <c r="C462" s="1"/>
      <c r="D462" s="1"/>
      <c r="E462" s="1"/>
      <c r="F462" s="9"/>
      <c r="G462" s="9"/>
      <c r="H462" s="9"/>
      <c r="I462" s="9"/>
      <c r="J462" s="93"/>
      <c r="K462" s="9"/>
      <c r="L462" s="9"/>
      <c r="M462" s="9"/>
      <c r="N462" s="9"/>
      <c r="O462" s="9"/>
      <c r="P462" s="9"/>
      <c r="Q462" s="93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"/>
      <c r="AL462" s="1"/>
      <c r="AM462" s="1"/>
      <c r="AN462" s="94"/>
      <c r="AO462" s="1"/>
      <c r="AP462" s="1"/>
      <c r="AQ462" s="1"/>
      <c r="AR462" s="1"/>
      <c r="AS462" s="1"/>
      <c r="AT462" s="1"/>
      <c r="AU462" s="1"/>
    </row>
    <row r="463" ht="10.5" customHeight="1">
      <c r="A463" s="1"/>
      <c r="B463" s="2"/>
      <c r="C463" s="1"/>
      <c r="D463" s="1"/>
      <c r="E463" s="1"/>
      <c r="F463" s="9"/>
      <c r="G463" s="9"/>
      <c r="H463" s="9"/>
      <c r="I463" s="9"/>
      <c r="J463" s="93"/>
      <c r="K463" s="9"/>
      <c r="L463" s="9"/>
      <c r="M463" s="9"/>
      <c r="N463" s="9"/>
      <c r="O463" s="9"/>
      <c r="P463" s="9"/>
      <c r="Q463" s="93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"/>
      <c r="AL463" s="1"/>
      <c r="AM463" s="1"/>
      <c r="AN463" s="94"/>
      <c r="AO463" s="1"/>
      <c r="AP463" s="1"/>
      <c r="AQ463" s="1"/>
      <c r="AR463" s="1"/>
      <c r="AS463" s="1"/>
      <c r="AT463" s="1"/>
      <c r="AU463" s="1"/>
    </row>
    <row r="464" ht="10.5" customHeight="1">
      <c r="A464" s="1"/>
      <c r="B464" s="2"/>
      <c r="C464" s="1"/>
      <c r="D464" s="1"/>
      <c r="E464" s="1"/>
      <c r="F464" s="9"/>
      <c r="G464" s="9"/>
      <c r="H464" s="9"/>
      <c r="I464" s="9"/>
      <c r="J464" s="93"/>
      <c r="K464" s="9"/>
      <c r="L464" s="9"/>
      <c r="M464" s="9"/>
      <c r="N464" s="9"/>
      <c r="O464" s="9"/>
      <c r="P464" s="9"/>
      <c r="Q464" s="93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"/>
      <c r="AL464" s="1"/>
      <c r="AM464" s="1"/>
      <c r="AN464" s="94"/>
      <c r="AO464" s="1"/>
      <c r="AP464" s="1"/>
      <c r="AQ464" s="1"/>
      <c r="AR464" s="1"/>
      <c r="AS464" s="1"/>
      <c r="AT464" s="1"/>
      <c r="AU464" s="1"/>
    </row>
    <row r="465" ht="10.5" customHeight="1">
      <c r="A465" s="1"/>
      <c r="B465" s="2"/>
      <c r="C465" s="1"/>
      <c r="D465" s="1"/>
      <c r="E465" s="1"/>
      <c r="F465" s="9"/>
      <c r="G465" s="9"/>
      <c r="H465" s="9"/>
      <c r="I465" s="9"/>
      <c r="J465" s="93"/>
      <c r="K465" s="9"/>
      <c r="L465" s="9"/>
      <c r="M465" s="9"/>
      <c r="N465" s="9"/>
      <c r="O465" s="9"/>
      <c r="P465" s="9"/>
      <c r="Q465" s="93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"/>
      <c r="AL465" s="1"/>
      <c r="AM465" s="1"/>
      <c r="AN465" s="94"/>
      <c r="AO465" s="1"/>
      <c r="AP465" s="1"/>
      <c r="AQ465" s="1"/>
      <c r="AR465" s="1"/>
      <c r="AS465" s="1"/>
      <c r="AT465" s="1"/>
      <c r="AU465" s="1"/>
    </row>
    <row r="466" ht="10.5" customHeight="1">
      <c r="A466" s="1"/>
      <c r="B466" s="2"/>
      <c r="C466" s="1"/>
      <c r="D466" s="1"/>
      <c r="E466" s="1"/>
      <c r="F466" s="9"/>
      <c r="G466" s="9"/>
      <c r="H466" s="9"/>
      <c r="I466" s="9"/>
      <c r="J466" s="93"/>
      <c r="K466" s="9"/>
      <c r="L466" s="9"/>
      <c r="M466" s="9"/>
      <c r="N466" s="9"/>
      <c r="O466" s="9"/>
      <c r="P466" s="9"/>
      <c r="Q466" s="93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1"/>
      <c r="AL466" s="1"/>
      <c r="AM466" s="1"/>
      <c r="AN466" s="94"/>
      <c r="AO466" s="1"/>
      <c r="AP466" s="1"/>
      <c r="AQ466" s="1"/>
      <c r="AR466" s="1"/>
      <c r="AS466" s="1"/>
      <c r="AT466" s="1"/>
      <c r="AU466" s="1"/>
    </row>
    <row r="467" ht="10.5" customHeight="1">
      <c r="A467" s="1"/>
      <c r="B467" s="2"/>
      <c r="C467" s="1"/>
      <c r="D467" s="1"/>
      <c r="E467" s="1"/>
      <c r="F467" s="9"/>
      <c r="G467" s="9"/>
      <c r="H467" s="9"/>
      <c r="I467" s="9"/>
      <c r="J467" s="93"/>
      <c r="K467" s="9"/>
      <c r="L467" s="9"/>
      <c r="M467" s="9"/>
      <c r="N467" s="9"/>
      <c r="O467" s="9"/>
      <c r="P467" s="9"/>
      <c r="Q467" s="93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1"/>
      <c r="AL467" s="1"/>
      <c r="AM467" s="1"/>
      <c r="AN467" s="94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2"/>
      <c r="C468" s="1"/>
      <c r="D468" s="1"/>
      <c r="E468" s="1"/>
      <c r="F468" s="9"/>
      <c r="G468" s="9"/>
      <c r="H468" s="9"/>
      <c r="I468" s="9"/>
      <c r="J468" s="93"/>
      <c r="K468" s="9"/>
      <c r="L468" s="9"/>
      <c r="M468" s="9"/>
      <c r="N468" s="9"/>
      <c r="O468" s="9"/>
      <c r="P468" s="9"/>
      <c r="Q468" s="93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1"/>
      <c r="AL468" s="1"/>
      <c r="AM468" s="1"/>
      <c r="AN468" s="94"/>
      <c r="AO468" s="1"/>
      <c r="AP468" s="1"/>
      <c r="AQ468" s="1"/>
      <c r="AR468" s="1"/>
      <c r="AS468" s="1"/>
      <c r="AT468" s="1"/>
      <c r="AU468" s="1"/>
    </row>
    <row r="469" ht="10.5" customHeight="1">
      <c r="A469" s="1"/>
      <c r="B469" s="2"/>
      <c r="C469" s="1"/>
      <c r="D469" s="1"/>
      <c r="E469" s="1"/>
      <c r="F469" s="9"/>
      <c r="G469" s="9"/>
      <c r="H469" s="9"/>
      <c r="I469" s="9"/>
      <c r="J469" s="93"/>
      <c r="K469" s="9"/>
      <c r="L469" s="9"/>
      <c r="M469" s="9"/>
      <c r="N469" s="9"/>
      <c r="O469" s="9"/>
      <c r="P469" s="9"/>
      <c r="Q469" s="93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"/>
      <c r="AL469" s="1"/>
      <c r="AM469" s="1"/>
      <c r="AN469" s="94"/>
      <c r="AO469" s="1"/>
      <c r="AP469" s="1"/>
      <c r="AQ469" s="1"/>
      <c r="AR469" s="1"/>
      <c r="AS469" s="1"/>
      <c r="AT469" s="1"/>
      <c r="AU469" s="1"/>
    </row>
    <row r="470" ht="10.5" customHeight="1">
      <c r="A470" s="1"/>
      <c r="B470" s="2"/>
      <c r="C470" s="1"/>
      <c r="D470" s="1"/>
      <c r="E470" s="1"/>
      <c r="F470" s="9"/>
      <c r="G470" s="9"/>
      <c r="H470" s="9"/>
      <c r="I470" s="9"/>
      <c r="J470" s="93"/>
      <c r="K470" s="9"/>
      <c r="L470" s="9"/>
      <c r="M470" s="9"/>
      <c r="N470" s="9"/>
      <c r="O470" s="9"/>
      <c r="P470" s="9"/>
      <c r="Q470" s="93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1"/>
      <c r="AL470" s="1"/>
      <c r="AM470" s="1"/>
      <c r="AN470" s="94"/>
      <c r="AO470" s="1"/>
      <c r="AP470" s="1"/>
      <c r="AQ470" s="1"/>
      <c r="AR470" s="1"/>
      <c r="AS470" s="1"/>
      <c r="AT470" s="1"/>
      <c r="AU470" s="1"/>
    </row>
    <row r="471" ht="10.5" customHeight="1">
      <c r="A471" s="1"/>
      <c r="B471" s="2"/>
      <c r="C471" s="1"/>
      <c r="D471" s="1"/>
      <c r="E471" s="1"/>
      <c r="F471" s="9"/>
      <c r="G471" s="9"/>
      <c r="H471" s="9"/>
      <c r="I471" s="9"/>
      <c r="J471" s="93"/>
      <c r="K471" s="9"/>
      <c r="L471" s="9"/>
      <c r="M471" s="9"/>
      <c r="N471" s="9"/>
      <c r="O471" s="9"/>
      <c r="P471" s="9"/>
      <c r="Q471" s="93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"/>
      <c r="AL471" s="1"/>
      <c r="AM471" s="1"/>
      <c r="AN471" s="94"/>
      <c r="AO471" s="1"/>
      <c r="AP471" s="1"/>
      <c r="AQ471" s="1"/>
      <c r="AR471" s="1"/>
      <c r="AS471" s="1"/>
      <c r="AT471" s="1"/>
      <c r="AU471" s="1"/>
    </row>
    <row r="472" ht="10.5" customHeight="1">
      <c r="A472" s="1"/>
      <c r="B472" s="2"/>
      <c r="C472" s="1"/>
      <c r="D472" s="1"/>
      <c r="E472" s="1"/>
      <c r="F472" s="9"/>
      <c r="G472" s="9"/>
      <c r="H472" s="9"/>
      <c r="I472" s="9"/>
      <c r="J472" s="93"/>
      <c r="K472" s="9"/>
      <c r="L472" s="9"/>
      <c r="M472" s="9"/>
      <c r="N472" s="9"/>
      <c r="O472" s="9"/>
      <c r="P472" s="9"/>
      <c r="Q472" s="93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"/>
      <c r="AL472" s="1"/>
      <c r="AM472" s="1"/>
      <c r="AN472" s="94"/>
      <c r="AO472" s="1"/>
      <c r="AP472" s="1"/>
      <c r="AQ472" s="1"/>
      <c r="AR472" s="1"/>
      <c r="AS472" s="1"/>
      <c r="AT472" s="1"/>
      <c r="AU472" s="1"/>
    </row>
    <row r="473" ht="10.5" customHeight="1">
      <c r="A473" s="1"/>
      <c r="B473" s="2"/>
      <c r="C473" s="1"/>
      <c r="D473" s="1"/>
      <c r="E473" s="1"/>
      <c r="F473" s="9"/>
      <c r="G473" s="9"/>
      <c r="H473" s="9"/>
      <c r="I473" s="9"/>
      <c r="J473" s="93"/>
      <c r="K473" s="9"/>
      <c r="L473" s="9"/>
      <c r="M473" s="9"/>
      <c r="N473" s="9"/>
      <c r="O473" s="9"/>
      <c r="P473" s="9"/>
      <c r="Q473" s="93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"/>
      <c r="AL473" s="1"/>
      <c r="AM473" s="1"/>
      <c r="AN473" s="94"/>
      <c r="AO473" s="1"/>
      <c r="AP473" s="1"/>
      <c r="AQ473" s="1"/>
      <c r="AR473" s="1"/>
      <c r="AS473" s="1"/>
      <c r="AT473" s="1"/>
      <c r="AU473" s="1"/>
    </row>
    <row r="474" ht="10.5" customHeight="1">
      <c r="A474" s="1"/>
      <c r="B474" s="2"/>
      <c r="C474" s="1"/>
      <c r="D474" s="1"/>
      <c r="E474" s="1"/>
      <c r="F474" s="9"/>
      <c r="G474" s="9"/>
      <c r="H474" s="9"/>
      <c r="I474" s="9"/>
      <c r="J474" s="93"/>
      <c r="K474" s="9"/>
      <c r="L474" s="9"/>
      <c r="M474" s="9"/>
      <c r="N474" s="9"/>
      <c r="O474" s="9"/>
      <c r="P474" s="9"/>
      <c r="Q474" s="93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1"/>
      <c r="AL474" s="1"/>
      <c r="AM474" s="1"/>
      <c r="AN474" s="94"/>
      <c r="AO474" s="1"/>
      <c r="AP474" s="1"/>
      <c r="AQ474" s="1"/>
      <c r="AR474" s="1"/>
      <c r="AS474" s="1"/>
      <c r="AT474" s="1"/>
      <c r="AU474" s="1"/>
    </row>
    <row r="475" ht="10.5" customHeight="1">
      <c r="A475" s="1"/>
      <c r="B475" s="2"/>
      <c r="C475" s="1"/>
      <c r="D475" s="1"/>
      <c r="E475" s="1"/>
      <c r="F475" s="9"/>
      <c r="G475" s="9"/>
      <c r="H475" s="9"/>
      <c r="I475" s="9"/>
      <c r="J475" s="93"/>
      <c r="K475" s="9"/>
      <c r="L475" s="9"/>
      <c r="M475" s="9"/>
      <c r="N475" s="9"/>
      <c r="O475" s="9"/>
      <c r="P475" s="9"/>
      <c r="Q475" s="93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"/>
      <c r="AL475" s="1"/>
      <c r="AM475" s="1"/>
      <c r="AN475" s="94"/>
      <c r="AO475" s="1"/>
      <c r="AP475" s="1"/>
      <c r="AQ475" s="1"/>
      <c r="AR475" s="1"/>
      <c r="AS475" s="1"/>
      <c r="AT475" s="1"/>
      <c r="AU475" s="1"/>
    </row>
    <row r="476" ht="10.5" customHeight="1">
      <c r="A476" s="1"/>
      <c r="B476" s="2"/>
      <c r="C476" s="1"/>
      <c r="D476" s="1"/>
      <c r="E476" s="1"/>
      <c r="F476" s="9"/>
      <c r="G476" s="9"/>
      <c r="H476" s="9"/>
      <c r="I476" s="9"/>
      <c r="J476" s="93"/>
      <c r="K476" s="9"/>
      <c r="L476" s="9"/>
      <c r="M476" s="9"/>
      <c r="N476" s="9"/>
      <c r="O476" s="9"/>
      <c r="P476" s="9"/>
      <c r="Q476" s="93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"/>
      <c r="AL476" s="1"/>
      <c r="AM476" s="1"/>
      <c r="AN476" s="94"/>
      <c r="AO476" s="1"/>
      <c r="AP476" s="1"/>
      <c r="AQ476" s="1"/>
      <c r="AR476" s="1"/>
      <c r="AS476" s="1"/>
      <c r="AT476" s="1"/>
      <c r="AU476" s="1"/>
    </row>
    <row r="477" ht="10.5" customHeight="1">
      <c r="A477" s="1"/>
      <c r="B477" s="2"/>
      <c r="C477" s="1"/>
      <c r="D477" s="1"/>
      <c r="E477" s="1"/>
      <c r="F477" s="9"/>
      <c r="G477" s="9"/>
      <c r="H477" s="9"/>
      <c r="I477" s="9"/>
      <c r="J477" s="93"/>
      <c r="K477" s="9"/>
      <c r="L477" s="9"/>
      <c r="M477" s="9"/>
      <c r="N477" s="9"/>
      <c r="O477" s="9"/>
      <c r="P477" s="9"/>
      <c r="Q477" s="93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"/>
      <c r="AL477" s="1"/>
      <c r="AM477" s="1"/>
      <c r="AN477" s="94"/>
      <c r="AO477" s="1"/>
      <c r="AP477" s="1"/>
      <c r="AQ477" s="1"/>
      <c r="AR477" s="1"/>
      <c r="AS477" s="1"/>
      <c r="AT477" s="1"/>
      <c r="AU477" s="1"/>
    </row>
    <row r="478" ht="10.5" customHeight="1">
      <c r="A478" s="1"/>
      <c r="B478" s="2"/>
      <c r="C478" s="1"/>
      <c r="D478" s="1"/>
      <c r="E478" s="1"/>
      <c r="F478" s="9"/>
      <c r="G478" s="9"/>
      <c r="H478" s="9"/>
      <c r="I478" s="9"/>
      <c r="J478" s="93"/>
      <c r="K478" s="9"/>
      <c r="L478" s="9"/>
      <c r="M478" s="9"/>
      <c r="N478" s="9"/>
      <c r="O478" s="9"/>
      <c r="P478" s="9"/>
      <c r="Q478" s="93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"/>
      <c r="AL478" s="1"/>
      <c r="AM478" s="1"/>
      <c r="AN478" s="94"/>
      <c r="AO478" s="1"/>
      <c r="AP478" s="1"/>
      <c r="AQ478" s="1"/>
      <c r="AR478" s="1"/>
      <c r="AS478" s="1"/>
      <c r="AT478" s="1"/>
      <c r="AU478" s="1"/>
    </row>
    <row r="479" ht="10.5" customHeight="1">
      <c r="A479" s="1"/>
      <c r="B479" s="2"/>
      <c r="C479" s="1"/>
      <c r="D479" s="1"/>
      <c r="E479" s="1"/>
      <c r="F479" s="9"/>
      <c r="G479" s="9"/>
      <c r="H479" s="9"/>
      <c r="I479" s="9"/>
      <c r="J479" s="93"/>
      <c r="K479" s="9"/>
      <c r="L479" s="9"/>
      <c r="M479" s="9"/>
      <c r="N479" s="9"/>
      <c r="O479" s="9"/>
      <c r="P479" s="9"/>
      <c r="Q479" s="93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1"/>
      <c r="AL479" s="1"/>
      <c r="AM479" s="1"/>
      <c r="AN479" s="94"/>
      <c r="AO479" s="1"/>
      <c r="AP479" s="1"/>
      <c r="AQ479" s="1"/>
      <c r="AR479" s="1"/>
      <c r="AS479" s="1"/>
      <c r="AT479" s="1"/>
      <c r="AU479" s="1"/>
    </row>
    <row r="480" ht="10.5" customHeight="1">
      <c r="A480" s="1"/>
      <c r="B480" s="2"/>
      <c r="C480" s="1"/>
      <c r="D480" s="1"/>
      <c r="E480" s="1"/>
      <c r="F480" s="9"/>
      <c r="G480" s="9"/>
      <c r="H480" s="9"/>
      <c r="I480" s="9"/>
      <c r="J480" s="93"/>
      <c r="K480" s="9"/>
      <c r="L480" s="9"/>
      <c r="M480" s="9"/>
      <c r="N480" s="9"/>
      <c r="O480" s="9"/>
      <c r="P480" s="9"/>
      <c r="Q480" s="93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"/>
      <c r="AL480" s="1"/>
      <c r="AM480" s="1"/>
      <c r="AN480" s="94"/>
      <c r="AO480" s="1"/>
      <c r="AP480" s="1"/>
      <c r="AQ480" s="1"/>
      <c r="AR480" s="1"/>
      <c r="AS480" s="1"/>
      <c r="AT480" s="1"/>
      <c r="AU480" s="1"/>
    </row>
    <row r="481" ht="10.5" customHeight="1">
      <c r="A481" s="1"/>
      <c r="B481" s="2"/>
      <c r="C481" s="1"/>
      <c r="D481" s="1"/>
      <c r="E481" s="1"/>
      <c r="F481" s="9"/>
      <c r="G481" s="9"/>
      <c r="H481" s="9"/>
      <c r="I481" s="9"/>
      <c r="J481" s="93"/>
      <c r="K481" s="9"/>
      <c r="L481" s="9"/>
      <c r="M481" s="9"/>
      <c r="N481" s="9"/>
      <c r="O481" s="9"/>
      <c r="P481" s="9"/>
      <c r="Q481" s="93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"/>
      <c r="AL481" s="1"/>
      <c r="AM481" s="1"/>
      <c r="AN481" s="94"/>
      <c r="AO481" s="1"/>
      <c r="AP481" s="1"/>
      <c r="AQ481" s="1"/>
      <c r="AR481" s="1"/>
      <c r="AS481" s="1"/>
      <c r="AT481" s="1"/>
      <c r="AU481" s="1"/>
    </row>
    <row r="482" ht="10.5" customHeight="1">
      <c r="A482" s="1"/>
      <c r="B482" s="2"/>
      <c r="C482" s="1"/>
      <c r="D482" s="1"/>
      <c r="E482" s="1"/>
      <c r="F482" s="9"/>
      <c r="G482" s="9"/>
      <c r="H482" s="9"/>
      <c r="I482" s="9"/>
      <c r="J482" s="93"/>
      <c r="K482" s="9"/>
      <c r="L482" s="9"/>
      <c r="M482" s="9"/>
      <c r="N482" s="9"/>
      <c r="O482" s="9"/>
      <c r="P482" s="9"/>
      <c r="Q482" s="93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"/>
      <c r="AL482" s="1"/>
      <c r="AM482" s="1"/>
      <c r="AN482" s="94"/>
      <c r="AO482" s="1"/>
      <c r="AP482" s="1"/>
      <c r="AQ482" s="1"/>
      <c r="AR482" s="1"/>
      <c r="AS482" s="1"/>
      <c r="AT482" s="1"/>
      <c r="AU482" s="1"/>
    </row>
    <row r="483" ht="10.5" customHeight="1">
      <c r="A483" s="1"/>
      <c r="B483" s="2"/>
      <c r="C483" s="1"/>
      <c r="D483" s="1"/>
      <c r="E483" s="1"/>
      <c r="F483" s="9"/>
      <c r="G483" s="9"/>
      <c r="H483" s="9"/>
      <c r="I483" s="9"/>
      <c r="J483" s="93"/>
      <c r="K483" s="9"/>
      <c r="L483" s="9"/>
      <c r="M483" s="9"/>
      <c r="N483" s="9"/>
      <c r="O483" s="9"/>
      <c r="P483" s="9"/>
      <c r="Q483" s="93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"/>
      <c r="AL483" s="1"/>
      <c r="AM483" s="1"/>
      <c r="AN483" s="94"/>
      <c r="AO483" s="1"/>
      <c r="AP483" s="1"/>
      <c r="AQ483" s="1"/>
      <c r="AR483" s="1"/>
      <c r="AS483" s="1"/>
      <c r="AT483" s="1"/>
      <c r="AU483" s="1"/>
    </row>
    <row r="484" ht="10.5" customHeight="1">
      <c r="A484" s="1"/>
      <c r="B484" s="2"/>
      <c r="C484" s="1"/>
      <c r="D484" s="1"/>
      <c r="E484" s="1"/>
      <c r="F484" s="9"/>
      <c r="G484" s="9"/>
      <c r="H484" s="9"/>
      <c r="I484" s="9"/>
      <c r="J484" s="93"/>
      <c r="K484" s="9"/>
      <c r="L484" s="9"/>
      <c r="M484" s="9"/>
      <c r="N484" s="9"/>
      <c r="O484" s="9"/>
      <c r="P484" s="9"/>
      <c r="Q484" s="93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1"/>
      <c r="AL484" s="1"/>
      <c r="AM484" s="1"/>
      <c r="AN484" s="94"/>
      <c r="AO484" s="1"/>
      <c r="AP484" s="1"/>
      <c r="AQ484" s="1"/>
      <c r="AR484" s="1"/>
      <c r="AS484" s="1"/>
      <c r="AT484" s="1"/>
      <c r="AU484" s="1"/>
    </row>
    <row r="485" ht="10.5" customHeight="1">
      <c r="A485" s="1"/>
      <c r="B485" s="2"/>
      <c r="C485" s="1"/>
      <c r="D485" s="1"/>
      <c r="E485" s="1"/>
      <c r="F485" s="9"/>
      <c r="G485" s="9"/>
      <c r="H485" s="9"/>
      <c r="I485" s="9"/>
      <c r="J485" s="93"/>
      <c r="K485" s="9"/>
      <c r="L485" s="9"/>
      <c r="M485" s="9"/>
      <c r="N485" s="9"/>
      <c r="O485" s="9"/>
      <c r="P485" s="9"/>
      <c r="Q485" s="93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"/>
      <c r="AL485" s="1"/>
      <c r="AM485" s="1"/>
      <c r="AN485" s="94"/>
      <c r="AO485" s="1"/>
      <c r="AP485" s="1"/>
      <c r="AQ485" s="1"/>
      <c r="AR485" s="1"/>
      <c r="AS485" s="1"/>
      <c r="AT485" s="1"/>
      <c r="AU485" s="1"/>
    </row>
    <row r="486" ht="10.5" customHeight="1">
      <c r="A486" s="1"/>
      <c r="B486" s="2"/>
      <c r="C486" s="1"/>
      <c r="D486" s="1"/>
      <c r="E486" s="1"/>
      <c r="F486" s="9"/>
      <c r="G486" s="9"/>
      <c r="H486" s="9"/>
      <c r="I486" s="9"/>
      <c r="J486" s="93"/>
      <c r="K486" s="9"/>
      <c r="L486" s="9"/>
      <c r="M486" s="9"/>
      <c r="N486" s="9"/>
      <c r="O486" s="9"/>
      <c r="P486" s="9"/>
      <c r="Q486" s="93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"/>
      <c r="AL486" s="1"/>
      <c r="AM486" s="1"/>
      <c r="AN486" s="94"/>
      <c r="AO486" s="1"/>
      <c r="AP486" s="1"/>
      <c r="AQ486" s="1"/>
      <c r="AR486" s="1"/>
      <c r="AS486" s="1"/>
      <c r="AT486" s="1"/>
      <c r="AU486" s="1"/>
    </row>
    <row r="487" ht="10.5" customHeight="1">
      <c r="A487" s="1"/>
      <c r="B487" s="2"/>
      <c r="C487" s="1"/>
      <c r="D487" s="1"/>
      <c r="E487" s="1"/>
      <c r="F487" s="9"/>
      <c r="G487" s="9"/>
      <c r="H487" s="9"/>
      <c r="I487" s="9"/>
      <c r="J487" s="93"/>
      <c r="K487" s="9"/>
      <c r="L487" s="9"/>
      <c r="M487" s="9"/>
      <c r="N487" s="9"/>
      <c r="O487" s="9"/>
      <c r="P487" s="9"/>
      <c r="Q487" s="93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"/>
      <c r="AL487" s="1"/>
      <c r="AM487" s="1"/>
      <c r="AN487" s="94"/>
      <c r="AO487" s="1"/>
      <c r="AP487" s="1"/>
      <c r="AQ487" s="1"/>
      <c r="AR487" s="1"/>
      <c r="AS487" s="1"/>
      <c r="AT487" s="1"/>
      <c r="AU487" s="1"/>
    </row>
    <row r="488" ht="10.5" customHeight="1">
      <c r="A488" s="1"/>
      <c r="B488" s="2"/>
      <c r="C488" s="1"/>
      <c r="D488" s="1"/>
      <c r="E488" s="1"/>
      <c r="F488" s="9"/>
      <c r="G488" s="9"/>
      <c r="H488" s="9"/>
      <c r="I488" s="9"/>
      <c r="J488" s="93"/>
      <c r="K488" s="9"/>
      <c r="L488" s="9"/>
      <c r="M488" s="9"/>
      <c r="N488" s="9"/>
      <c r="O488" s="9"/>
      <c r="P488" s="9"/>
      <c r="Q488" s="93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"/>
      <c r="AL488" s="1"/>
      <c r="AM488" s="1"/>
      <c r="AN488" s="94"/>
      <c r="AO488" s="1"/>
      <c r="AP488" s="1"/>
      <c r="AQ488" s="1"/>
      <c r="AR488" s="1"/>
      <c r="AS488" s="1"/>
      <c r="AT488" s="1"/>
      <c r="AU488" s="1"/>
    </row>
    <row r="489" ht="10.5" customHeight="1">
      <c r="A489" s="1"/>
      <c r="B489" s="2"/>
      <c r="C489" s="1"/>
      <c r="D489" s="1"/>
      <c r="E489" s="1"/>
      <c r="F489" s="9"/>
      <c r="G489" s="9"/>
      <c r="H489" s="9"/>
      <c r="I489" s="9"/>
      <c r="J489" s="93"/>
      <c r="K489" s="9"/>
      <c r="L489" s="9"/>
      <c r="M489" s="9"/>
      <c r="N489" s="9"/>
      <c r="O489" s="9"/>
      <c r="P489" s="9"/>
      <c r="Q489" s="93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"/>
      <c r="AL489" s="1"/>
      <c r="AM489" s="1"/>
      <c r="AN489" s="94"/>
      <c r="AO489" s="1"/>
      <c r="AP489" s="1"/>
      <c r="AQ489" s="1"/>
      <c r="AR489" s="1"/>
      <c r="AS489" s="1"/>
      <c r="AT489" s="1"/>
      <c r="AU489" s="1"/>
    </row>
    <row r="490" ht="10.5" customHeight="1">
      <c r="A490" s="1"/>
      <c r="B490" s="2"/>
      <c r="C490" s="1"/>
      <c r="D490" s="1"/>
      <c r="E490" s="1"/>
      <c r="F490" s="9"/>
      <c r="G490" s="9"/>
      <c r="H490" s="9"/>
      <c r="I490" s="9"/>
      <c r="J490" s="93"/>
      <c r="K490" s="9"/>
      <c r="L490" s="9"/>
      <c r="M490" s="9"/>
      <c r="N490" s="9"/>
      <c r="O490" s="9"/>
      <c r="P490" s="9"/>
      <c r="Q490" s="93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"/>
      <c r="AL490" s="1"/>
      <c r="AM490" s="1"/>
      <c r="AN490" s="94"/>
      <c r="AO490" s="1"/>
      <c r="AP490" s="1"/>
      <c r="AQ490" s="1"/>
      <c r="AR490" s="1"/>
      <c r="AS490" s="1"/>
      <c r="AT490" s="1"/>
      <c r="AU490" s="1"/>
    </row>
    <row r="491" ht="10.5" customHeight="1">
      <c r="A491" s="1"/>
      <c r="B491" s="2"/>
      <c r="C491" s="1"/>
      <c r="D491" s="1"/>
      <c r="E491" s="1"/>
      <c r="F491" s="9"/>
      <c r="G491" s="9"/>
      <c r="H491" s="9"/>
      <c r="I491" s="9"/>
      <c r="J491" s="93"/>
      <c r="K491" s="9"/>
      <c r="L491" s="9"/>
      <c r="M491" s="9"/>
      <c r="N491" s="9"/>
      <c r="O491" s="9"/>
      <c r="P491" s="9"/>
      <c r="Q491" s="93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"/>
      <c r="AL491" s="1"/>
      <c r="AM491" s="1"/>
      <c r="AN491" s="94"/>
      <c r="AO491" s="1"/>
      <c r="AP491" s="1"/>
      <c r="AQ491" s="1"/>
      <c r="AR491" s="1"/>
      <c r="AS491" s="1"/>
      <c r="AT491" s="1"/>
      <c r="AU491" s="1"/>
    </row>
    <row r="492" ht="10.5" customHeight="1">
      <c r="A492" s="1"/>
      <c r="B492" s="2"/>
      <c r="C492" s="1"/>
      <c r="D492" s="1"/>
      <c r="E492" s="1"/>
      <c r="F492" s="9"/>
      <c r="G492" s="9"/>
      <c r="H492" s="9"/>
      <c r="I492" s="9"/>
      <c r="J492" s="93"/>
      <c r="K492" s="9"/>
      <c r="L492" s="9"/>
      <c r="M492" s="9"/>
      <c r="N492" s="9"/>
      <c r="O492" s="9"/>
      <c r="P492" s="9"/>
      <c r="Q492" s="93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"/>
      <c r="AL492" s="1"/>
      <c r="AM492" s="1"/>
      <c r="AN492" s="94"/>
      <c r="AO492" s="1"/>
      <c r="AP492" s="1"/>
      <c r="AQ492" s="1"/>
      <c r="AR492" s="1"/>
      <c r="AS492" s="1"/>
      <c r="AT492" s="1"/>
      <c r="AU492" s="1"/>
    </row>
    <row r="493" ht="10.5" customHeight="1">
      <c r="A493" s="1"/>
      <c r="B493" s="2"/>
      <c r="C493" s="1"/>
      <c r="D493" s="1"/>
      <c r="E493" s="1"/>
      <c r="F493" s="9"/>
      <c r="G493" s="9"/>
      <c r="H493" s="9"/>
      <c r="I493" s="9"/>
      <c r="J493" s="93"/>
      <c r="K493" s="9"/>
      <c r="L493" s="9"/>
      <c r="M493" s="9"/>
      <c r="N493" s="9"/>
      <c r="O493" s="9"/>
      <c r="P493" s="9"/>
      <c r="Q493" s="93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"/>
      <c r="AL493" s="1"/>
      <c r="AM493" s="1"/>
      <c r="AN493" s="94"/>
      <c r="AO493" s="1"/>
      <c r="AP493" s="1"/>
      <c r="AQ493" s="1"/>
      <c r="AR493" s="1"/>
      <c r="AS493" s="1"/>
      <c r="AT493" s="1"/>
      <c r="AU493" s="1"/>
    </row>
    <row r="494" ht="10.5" customHeight="1">
      <c r="A494" s="1"/>
      <c r="B494" s="2"/>
      <c r="C494" s="1"/>
      <c r="D494" s="1"/>
      <c r="E494" s="1"/>
      <c r="F494" s="9"/>
      <c r="G494" s="9"/>
      <c r="H494" s="9"/>
      <c r="I494" s="9"/>
      <c r="J494" s="93"/>
      <c r="K494" s="9"/>
      <c r="L494" s="9"/>
      <c r="M494" s="9"/>
      <c r="N494" s="9"/>
      <c r="O494" s="9"/>
      <c r="P494" s="9"/>
      <c r="Q494" s="93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"/>
      <c r="AL494" s="1"/>
      <c r="AM494" s="1"/>
      <c r="AN494" s="94"/>
      <c r="AO494" s="1"/>
      <c r="AP494" s="1"/>
      <c r="AQ494" s="1"/>
      <c r="AR494" s="1"/>
      <c r="AS494" s="1"/>
      <c r="AT494" s="1"/>
      <c r="AU494" s="1"/>
    </row>
    <row r="495" ht="10.5" customHeight="1">
      <c r="A495" s="1"/>
      <c r="B495" s="2"/>
      <c r="C495" s="1"/>
      <c r="D495" s="1"/>
      <c r="E495" s="1"/>
      <c r="F495" s="9"/>
      <c r="G495" s="9"/>
      <c r="H495" s="9"/>
      <c r="I495" s="9"/>
      <c r="J495" s="93"/>
      <c r="K495" s="9"/>
      <c r="L495" s="9"/>
      <c r="M495" s="9"/>
      <c r="N495" s="9"/>
      <c r="O495" s="9"/>
      <c r="P495" s="9"/>
      <c r="Q495" s="93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"/>
      <c r="AL495" s="1"/>
      <c r="AM495" s="1"/>
      <c r="AN495" s="94"/>
      <c r="AO495" s="1"/>
      <c r="AP495" s="1"/>
      <c r="AQ495" s="1"/>
      <c r="AR495" s="1"/>
      <c r="AS495" s="1"/>
      <c r="AT495" s="1"/>
      <c r="AU495" s="1"/>
    </row>
    <row r="496" ht="10.5" customHeight="1">
      <c r="A496" s="1"/>
      <c r="B496" s="2"/>
      <c r="C496" s="1"/>
      <c r="D496" s="1"/>
      <c r="E496" s="1"/>
      <c r="F496" s="9"/>
      <c r="G496" s="9"/>
      <c r="H496" s="9"/>
      <c r="I496" s="9"/>
      <c r="J496" s="93"/>
      <c r="K496" s="9"/>
      <c r="L496" s="9"/>
      <c r="M496" s="9"/>
      <c r="N496" s="9"/>
      <c r="O496" s="9"/>
      <c r="P496" s="9"/>
      <c r="Q496" s="93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1"/>
      <c r="AL496" s="1"/>
      <c r="AM496" s="1"/>
      <c r="AN496" s="94"/>
      <c r="AO496" s="1"/>
      <c r="AP496" s="1"/>
      <c r="AQ496" s="1"/>
      <c r="AR496" s="1"/>
      <c r="AS496" s="1"/>
      <c r="AT496" s="1"/>
      <c r="AU496" s="1"/>
    </row>
    <row r="497" ht="10.5" customHeight="1">
      <c r="A497" s="1"/>
      <c r="B497" s="2"/>
      <c r="C497" s="1"/>
      <c r="D497" s="1"/>
      <c r="E497" s="1"/>
      <c r="F497" s="9"/>
      <c r="G497" s="9"/>
      <c r="H497" s="9"/>
      <c r="I497" s="9"/>
      <c r="J497" s="93"/>
      <c r="K497" s="9"/>
      <c r="L497" s="9"/>
      <c r="M497" s="9"/>
      <c r="N497" s="9"/>
      <c r="O497" s="9"/>
      <c r="P497" s="9"/>
      <c r="Q497" s="93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1"/>
      <c r="AL497" s="1"/>
      <c r="AM497" s="1"/>
      <c r="AN497" s="94"/>
      <c r="AO497" s="1"/>
      <c r="AP497" s="1"/>
      <c r="AQ497" s="1"/>
      <c r="AR497" s="1"/>
      <c r="AS497" s="1"/>
      <c r="AT497" s="1"/>
      <c r="AU497" s="1"/>
    </row>
    <row r="498" ht="10.5" customHeight="1">
      <c r="A498" s="1"/>
      <c r="B498" s="2"/>
      <c r="C498" s="1"/>
      <c r="D498" s="1"/>
      <c r="E498" s="1"/>
      <c r="F498" s="9"/>
      <c r="G498" s="9"/>
      <c r="H498" s="9"/>
      <c r="I498" s="9"/>
      <c r="J498" s="93"/>
      <c r="K498" s="9"/>
      <c r="L498" s="9"/>
      <c r="M498" s="9"/>
      <c r="N498" s="9"/>
      <c r="O498" s="9"/>
      <c r="P498" s="9"/>
      <c r="Q498" s="93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"/>
      <c r="AL498" s="1"/>
      <c r="AM498" s="1"/>
      <c r="AN498" s="94"/>
      <c r="AO498" s="1"/>
      <c r="AP498" s="1"/>
      <c r="AQ498" s="1"/>
      <c r="AR498" s="1"/>
      <c r="AS498" s="1"/>
      <c r="AT498" s="1"/>
      <c r="AU498" s="1"/>
    </row>
    <row r="499" ht="10.5" customHeight="1">
      <c r="A499" s="1"/>
      <c r="B499" s="2"/>
      <c r="C499" s="1"/>
      <c r="D499" s="1"/>
      <c r="E499" s="1"/>
      <c r="F499" s="9"/>
      <c r="G499" s="9"/>
      <c r="H499" s="9"/>
      <c r="I499" s="9"/>
      <c r="J499" s="93"/>
      <c r="K499" s="9"/>
      <c r="L499" s="9"/>
      <c r="M499" s="9"/>
      <c r="N499" s="9"/>
      <c r="O499" s="9"/>
      <c r="P499" s="9"/>
      <c r="Q499" s="93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"/>
      <c r="AL499" s="1"/>
      <c r="AM499" s="1"/>
      <c r="AN499" s="94"/>
      <c r="AO499" s="1"/>
      <c r="AP499" s="1"/>
      <c r="AQ499" s="1"/>
      <c r="AR499" s="1"/>
      <c r="AS499" s="1"/>
      <c r="AT499" s="1"/>
      <c r="AU499" s="1"/>
    </row>
    <row r="500" ht="10.5" customHeight="1">
      <c r="A500" s="1"/>
      <c r="B500" s="2"/>
      <c r="C500" s="1"/>
      <c r="D500" s="1"/>
      <c r="E500" s="1"/>
      <c r="F500" s="9"/>
      <c r="G500" s="9"/>
      <c r="H500" s="9"/>
      <c r="I500" s="9"/>
      <c r="J500" s="93"/>
      <c r="K500" s="9"/>
      <c r="L500" s="9"/>
      <c r="M500" s="9"/>
      <c r="N500" s="9"/>
      <c r="O500" s="9"/>
      <c r="P500" s="9"/>
      <c r="Q500" s="93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"/>
      <c r="AL500" s="1"/>
      <c r="AM500" s="1"/>
      <c r="AN500" s="94"/>
      <c r="AO500" s="1"/>
      <c r="AP500" s="1"/>
      <c r="AQ500" s="1"/>
      <c r="AR500" s="1"/>
      <c r="AS500" s="1"/>
      <c r="AT500" s="1"/>
      <c r="AU500" s="1"/>
    </row>
    <row r="501" ht="10.5" customHeight="1">
      <c r="A501" s="1"/>
      <c r="B501" s="2"/>
      <c r="C501" s="1"/>
      <c r="D501" s="1"/>
      <c r="E501" s="1"/>
      <c r="F501" s="9"/>
      <c r="G501" s="9"/>
      <c r="H501" s="9"/>
      <c r="I501" s="9"/>
      <c r="J501" s="93"/>
      <c r="K501" s="9"/>
      <c r="L501" s="9"/>
      <c r="M501" s="9"/>
      <c r="N501" s="9"/>
      <c r="O501" s="9"/>
      <c r="P501" s="9"/>
      <c r="Q501" s="93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"/>
      <c r="AL501" s="1"/>
      <c r="AM501" s="1"/>
      <c r="AN501" s="94"/>
      <c r="AO501" s="1"/>
      <c r="AP501" s="1"/>
      <c r="AQ501" s="1"/>
      <c r="AR501" s="1"/>
      <c r="AS501" s="1"/>
      <c r="AT501" s="1"/>
      <c r="AU501" s="1"/>
    </row>
    <row r="502" ht="10.5" customHeight="1">
      <c r="A502" s="1"/>
      <c r="B502" s="2"/>
      <c r="C502" s="1"/>
      <c r="D502" s="1"/>
      <c r="E502" s="1"/>
      <c r="F502" s="9"/>
      <c r="G502" s="9"/>
      <c r="H502" s="9"/>
      <c r="I502" s="9"/>
      <c r="J502" s="93"/>
      <c r="K502" s="9"/>
      <c r="L502" s="9"/>
      <c r="M502" s="9"/>
      <c r="N502" s="9"/>
      <c r="O502" s="9"/>
      <c r="P502" s="9"/>
      <c r="Q502" s="93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"/>
      <c r="AL502" s="1"/>
      <c r="AM502" s="1"/>
      <c r="AN502" s="94"/>
      <c r="AO502" s="1"/>
      <c r="AP502" s="1"/>
      <c r="AQ502" s="1"/>
      <c r="AR502" s="1"/>
      <c r="AS502" s="1"/>
      <c r="AT502" s="1"/>
      <c r="AU502" s="1"/>
    </row>
    <row r="503" ht="10.5" customHeight="1">
      <c r="A503" s="1"/>
      <c r="B503" s="2"/>
      <c r="C503" s="1"/>
      <c r="D503" s="1"/>
      <c r="E503" s="1"/>
      <c r="F503" s="9"/>
      <c r="G503" s="9"/>
      <c r="H503" s="9"/>
      <c r="I503" s="9"/>
      <c r="J503" s="93"/>
      <c r="K503" s="9"/>
      <c r="L503" s="9"/>
      <c r="M503" s="9"/>
      <c r="N503" s="9"/>
      <c r="O503" s="9"/>
      <c r="P503" s="9"/>
      <c r="Q503" s="93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"/>
      <c r="AL503" s="1"/>
      <c r="AM503" s="1"/>
      <c r="AN503" s="94"/>
      <c r="AO503" s="1"/>
      <c r="AP503" s="1"/>
      <c r="AQ503" s="1"/>
      <c r="AR503" s="1"/>
      <c r="AS503" s="1"/>
      <c r="AT503" s="1"/>
      <c r="AU503" s="1"/>
    </row>
    <row r="504" ht="10.5" customHeight="1">
      <c r="A504" s="1"/>
      <c r="B504" s="2"/>
      <c r="C504" s="1"/>
      <c r="D504" s="1"/>
      <c r="E504" s="1"/>
      <c r="F504" s="9"/>
      <c r="G504" s="9"/>
      <c r="H504" s="9"/>
      <c r="I504" s="9"/>
      <c r="J504" s="93"/>
      <c r="K504" s="9"/>
      <c r="L504" s="9"/>
      <c r="M504" s="9"/>
      <c r="N504" s="9"/>
      <c r="O504" s="9"/>
      <c r="P504" s="9"/>
      <c r="Q504" s="93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1"/>
      <c r="AL504" s="1"/>
      <c r="AM504" s="1"/>
      <c r="AN504" s="94"/>
      <c r="AO504" s="1"/>
      <c r="AP504" s="1"/>
      <c r="AQ504" s="1"/>
      <c r="AR504" s="1"/>
      <c r="AS504" s="1"/>
      <c r="AT504" s="1"/>
      <c r="AU504" s="1"/>
    </row>
    <row r="505" ht="10.5" customHeight="1">
      <c r="A505" s="1"/>
      <c r="B505" s="2"/>
      <c r="C505" s="1"/>
      <c r="D505" s="1"/>
      <c r="E505" s="1"/>
      <c r="F505" s="9"/>
      <c r="G505" s="9"/>
      <c r="H505" s="9"/>
      <c r="I505" s="9"/>
      <c r="J505" s="93"/>
      <c r="K505" s="9"/>
      <c r="L505" s="9"/>
      <c r="M505" s="9"/>
      <c r="N505" s="9"/>
      <c r="O505" s="9"/>
      <c r="P505" s="9"/>
      <c r="Q505" s="93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1"/>
      <c r="AL505" s="1"/>
      <c r="AM505" s="1"/>
      <c r="AN505" s="94"/>
      <c r="AO505" s="1"/>
      <c r="AP505" s="1"/>
      <c r="AQ505" s="1"/>
      <c r="AR505" s="1"/>
      <c r="AS505" s="1"/>
      <c r="AT505" s="1"/>
      <c r="AU505" s="1"/>
    </row>
    <row r="506" ht="10.5" customHeight="1">
      <c r="A506" s="1"/>
      <c r="B506" s="2"/>
      <c r="C506" s="1"/>
      <c r="D506" s="1"/>
      <c r="E506" s="1"/>
      <c r="F506" s="9"/>
      <c r="G506" s="9"/>
      <c r="H506" s="9"/>
      <c r="I506" s="9"/>
      <c r="J506" s="93"/>
      <c r="K506" s="9"/>
      <c r="L506" s="9"/>
      <c r="M506" s="9"/>
      <c r="N506" s="9"/>
      <c r="O506" s="9"/>
      <c r="P506" s="9"/>
      <c r="Q506" s="93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1"/>
      <c r="AL506" s="1"/>
      <c r="AM506" s="1"/>
      <c r="AN506" s="94"/>
      <c r="AO506" s="1"/>
      <c r="AP506" s="1"/>
      <c r="AQ506" s="1"/>
      <c r="AR506" s="1"/>
      <c r="AS506" s="1"/>
      <c r="AT506" s="1"/>
      <c r="AU506" s="1"/>
    </row>
    <row r="507" ht="10.5" customHeight="1">
      <c r="A507" s="1"/>
      <c r="B507" s="2"/>
      <c r="C507" s="1"/>
      <c r="D507" s="1"/>
      <c r="E507" s="1"/>
      <c r="F507" s="9"/>
      <c r="G507" s="9"/>
      <c r="H507" s="9"/>
      <c r="I507" s="9"/>
      <c r="J507" s="93"/>
      <c r="K507" s="9"/>
      <c r="L507" s="9"/>
      <c r="M507" s="9"/>
      <c r="N507" s="9"/>
      <c r="O507" s="9"/>
      <c r="P507" s="9"/>
      <c r="Q507" s="93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1"/>
      <c r="AL507" s="1"/>
      <c r="AM507" s="1"/>
      <c r="AN507" s="94"/>
      <c r="AO507" s="1"/>
      <c r="AP507" s="1"/>
      <c r="AQ507" s="1"/>
      <c r="AR507" s="1"/>
      <c r="AS507" s="1"/>
      <c r="AT507" s="1"/>
      <c r="AU507" s="1"/>
    </row>
    <row r="508" ht="10.5" customHeight="1">
      <c r="A508" s="1"/>
      <c r="B508" s="2"/>
      <c r="C508" s="1"/>
      <c r="D508" s="1"/>
      <c r="E508" s="1"/>
      <c r="F508" s="9"/>
      <c r="G508" s="9"/>
      <c r="H508" s="9"/>
      <c r="I508" s="9"/>
      <c r="J508" s="93"/>
      <c r="K508" s="9"/>
      <c r="L508" s="9"/>
      <c r="M508" s="9"/>
      <c r="N508" s="9"/>
      <c r="O508" s="9"/>
      <c r="P508" s="9"/>
      <c r="Q508" s="93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"/>
      <c r="AL508" s="1"/>
      <c r="AM508" s="1"/>
      <c r="AN508" s="94"/>
      <c r="AO508" s="1"/>
      <c r="AP508" s="1"/>
      <c r="AQ508" s="1"/>
      <c r="AR508" s="1"/>
      <c r="AS508" s="1"/>
      <c r="AT508" s="1"/>
      <c r="AU508" s="1"/>
    </row>
    <row r="509" ht="10.5" customHeight="1">
      <c r="A509" s="1"/>
      <c r="B509" s="2"/>
      <c r="C509" s="1"/>
      <c r="D509" s="1"/>
      <c r="E509" s="1"/>
      <c r="F509" s="9"/>
      <c r="G509" s="9"/>
      <c r="H509" s="9"/>
      <c r="I509" s="9"/>
      <c r="J509" s="93"/>
      <c r="K509" s="9"/>
      <c r="L509" s="9"/>
      <c r="M509" s="9"/>
      <c r="N509" s="9"/>
      <c r="O509" s="9"/>
      <c r="P509" s="9"/>
      <c r="Q509" s="93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1"/>
      <c r="AL509" s="1"/>
      <c r="AM509" s="1"/>
      <c r="AN509" s="94"/>
      <c r="AO509" s="1"/>
      <c r="AP509" s="1"/>
      <c r="AQ509" s="1"/>
      <c r="AR509" s="1"/>
      <c r="AS509" s="1"/>
      <c r="AT509" s="1"/>
      <c r="AU509" s="1"/>
    </row>
    <row r="510" ht="10.5" customHeight="1">
      <c r="A510" s="1"/>
      <c r="B510" s="2"/>
      <c r="C510" s="1"/>
      <c r="D510" s="1"/>
      <c r="E510" s="1"/>
      <c r="F510" s="9"/>
      <c r="G510" s="9"/>
      <c r="H510" s="9"/>
      <c r="I510" s="9"/>
      <c r="J510" s="93"/>
      <c r="K510" s="9"/>
      <c r="L510" s="9"/>
      <c r="M510" s="9"/>
      <c r="N510" s="9"/>
      <c r="O510" s="9"/>
      <c r="P510" s="9"/>
      <c r="Q510" s="93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1"/>
      <c r="AL510" s="1"/>
      <c r="AM510" s="1"/>
      <c r="AN510" s="94"/>
      <c r="AO510" s="1"/>
      <c r="AP510" s="1"/>
      <c r="AQ510" s="1"/>
      <c r="AR510" s="1"/>
      <c r="AS510" s="1"/>
      <c r="AT510" s="1"/>
      <c r="AU510" s="1"/>
    </row>
    <row r="511" ht="10.5" customHeight="1">
      <c r="A511" s="1"/>
      <c r="B511" s="2"/>
      <c r="C511" s="1"/>
      <c r="D511" s="1"/>
      <c r="E511" s="1"/>
      <c r="F511" s="9"/>
      <c r="G511" s="9"/>
      <c r="H511" s="9"/>
      <c r="I511" s="9"/>
      <c r="J511" s="93"/>
      <c r="K511" s="9"/>
      <c r="L511" s="9"/>
      <c r="M511" s="9"/>
      <c r="N511" s="9"/>
      <c r="O511" s="9"/>
      <c r="P511" s="9"/>
      <c r="Q511" s="93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1"/>
      <c r="AL511" s="1"/>
      <c r="AM511" s="1"/>
      <c r="AN511" s="94"/>
      <c r="AO511" s="1"/>
      <c r="AP511" s="1"/>
      <c r="AQ511" s="1"/>
      <c r="AR511" s="1"/>
      <c r="AS511" s="1"/>
      <c r="AT511" s="1"/>
      <c r="AU511" s="1"/>
    </row>
    <row r="512" ht="10.5" customHeight="1">
      <c r="A512" s="1"/>
      <c r="B512" s="2"/>
      <c r="C512" s="1"/>
      <c r="D512" s="1"/>
      <c r="E512" s="1"/>
      <c r="F512" s="9"/>
      <c r="G512" s="9"/>
      <c r="H512" s="9"/>
      <c r="I512" s="9"/>
      <c r="J512" s="93"/>
      <c r="K512" s="9"/>
      <c r="L512" s="9"/>
      <c r="M512" s="9"/>
      <c r="N512" s="9"/>
      <c r="O512" s="9"/>
      <c r="P512" s="9"/>
      <c r="Q512" s="93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1"/>
      <c r="AL512" s="1"/>
      <c r="AM512" s="1"/>
      <c r="AN512" s="94"/>
      <c r="AO512" s="1"/>
      <c r="AP512" s="1"/>
      <c r="AQ512" s="1"/>
      <c r="AR512" s="1"/>
      <c r="AS512" s="1"/>
      <c r="AT512" s="1"/>
      <c r="AU512" s="1"/>
    </row>
    <row r="513" ht="10.5" customHeight="1">
      <c r="A513" s="1"/>
      <c r="B513" s="2"/>
      <c r="C513" s="1"/>
      <c r="D513" s="1"/>
      <c r="E513" s="1"/>
      <c r="F513" s="9"/>
      <c r="G513" s="9"/>
      <c r="H513" s="9"/>
      <c r="I513" s="9"/>
      <c r="J513" s="93"/>
      <c r="K513" s="9"/>
      <c r="L513" s="9"/>
      <c r="M513" s="9"/>
      <c r="N513" s="9"/>
      <c r="O513" s="9"/>
      <c r="P513" s="9"/>
      <c r="Q513" s="93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1"/>
      <c r="AL513" s="1"/>
      <c r="AM513" s="1"/>
      <c r="AN513" s="94"/>
      <c r="AO513" s="1"/>
      <c r="AP513" s="1"/>
      <c r="AQ513" s="1"/>
      <c r="AR513" s="1"/>
      <c r="AS513" s="1"/>
      <c r="AT513" s="1"/>
      <c r="AU513" s="1"/>
    </row>
    <row r="514" ht="10.5" customHeight="1">
      <c r="A514" s="1"/>
      <c r="B514" s="2"/>
      <c r="C514" s="1"/>
      <c r="D514" s="1"/>
      <c r="E514" s="1"/>
      <c r="F514" s="9"/>
      <c r="G514" s="9"/>
      <c r="H514" s="9"/>
      <c r="I514" s="9"/>
      <c r="J514" s="93"/>
      <c r="K514" s="9"/>
      <c r="L514" s="9"/>
      <c r="M514" s="9"/>
      <c r="N514" s="9"/>
      <c r="O514" s="9"/>
      <c r="P514" s="9"/>
      <c r="Q514" s="93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1"/>
      <c r="AL514" s="1"/>
      <c r="AM514" s="1"/>
      <c r="AN514" s="94"/>
      <c r="AO514" s="1"/>
      <c r="AP514" s="1"/>
      <c r="AQ514" s="1"/>
      <c r="AR514" s="1"/>
      <c r="AS514" s="1"/>
      <c r="AT514" s="1"/>
      <c r="AU514" s="1"/>
    </row>
    <row r="515" ht="10.5" customHeight="1">
      <c r="A515" s="1"/>
      <c r="B515" s="2"/>
      <c r="C515" s="1"/>
      <c r="D515" s="1"/>
      <c r="E515" s="1"/>
      <c r="F515" s="9"/>
      <c r="G515" s="9"/>
      <c r="H515" s="9"/>
      <c r="I515" s="9"/>
      <c r="J515" s="93"/>
      <c r="K515" s="9"/>
      <c r="L515" s="9"/>
      <c r="M515" s="9"/>
      <c r="N515" s="9"/>
      <c r="O515" s="9"/>
      <c r="P515" s="9"/>
      <c r="Q515" s="93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"/>
      <c r="AL515" s="1"/>
      <c r="AM515" s="1"/>
      <c r="AN515" s="94"/>
      <c r="AO515" s="1"/>
      <c r="AP515" s="1"/>
      <c r="AQ515" s="1"/>
      <c r="AR515" s="1"/>
      <c r="AS515" s="1"/>
      <c r="AT515" s="1"/>
      <c r="AU515" s="1"/>
    </row>
    <row r="516" ht="10.5" customHeight="1">
      <c r="A516" s="1"/>
      <c r="B516" s="2"/>
      <c r="C516" s="1"/>
      <c r="D516" s="1"/>
      <c r="E516" s="1"/>
      <c r="F516" s="9"/>
      <c r="G516" s="9"/>
      <c r="H516" s="9"/>
      <c r="I516" s="9"/>
      <c r="J516" s="93"/>
      <c r="K516" s="9"/>
      <c r="L516" s="9"/>
      <c r="M516" s="9"/>
      <c r="N516" s="9"/>
      <c r="O516" s="9"/>
      <c r="P516" s="9"/>
      <c r="Q516" s="93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"/>
      <c r="AL516" s="1"/>
      <c r="AM516" s="1"/>
      <c r="AN516" s="94"/>
      <c r="AO516" s="1"/>
      <c r="AP516" s="1"/>
      <c r="AQ516" s="1"/>
      <c r="AR516" s="1"/>
      <c r="AS516" s="1"/>
      <c r="AT516" s="1"/>
      <c r="AU516" s="1"/>
    </row>
    <row r="517" ht="10.5" customHeight="1">
      <c r="A517" s="1"/>
      <c r="B517" s="2"/>
      <c r="C517" s="1"/>
      <c r="D517" s="1"/>
      <c r="E517" s="1"/>
      <c r="F517" s="9"/>
      <c r="G517" s="9"/>
      <c r="H517" s="9"/>
      <c r="I517" s="9"/>
      <c r="J517" s="93"/>
      <c r="K517" s="9"/>
      <c r="L517" s="9"/>
      <c r="M517" s="9"/>
      <c r="N517" s="9"/>
      <c r="O517" s="9"/>
      <c r="P517" s="9"/>
      <c r="Q517" s="93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"/>
      <c r="AL517" s="1"/>
      <c r="AM517" s="1"/>
      <c r="AN517" s="94"/>
      <c r="AO517" s="1"/>
      <c r="AP517" s="1"/>
      <c r="AQ517" s="1"/>
      <c r="AR517" s="1"/>
      <c r="AS517" s="1"/>
      <c r="AT517" s="1"/>
      <c r="AU517" s="1"/>
    </row>
    <row r="518" ht="10.5" customHeight="1">
      <c r="A518" s="1"/>
      <c r="B518" s="2"/>
      <c r="C518" s="1"/>
      <c r="D518" s="1"/>
      <c r="E518" s="1"/>
      <c r="F518" s="9"/>
      <c r="G518" s="9"/>
      <c r="H518" s="9"/>
      <c r="I518" s="9"/>
      <c r="J518" s="93"/>
      <c r="K518" s="9"/>
      <c r="L518" s="9"/>
      <c r="M518" s="9"/>
      <c r="N518" s="9"/>
      <c r="O518" s="9"/>
      <c r="P518" s="9"/>
      <c r="Q518" s="93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"/>
      <c r="AL518" s="1"/>
      <c r="AM518" s="1"/>
      <c r="AN518" s="94"/>
      <c r="AO518" s="1"/>
      <c r="AP518" s="1"/>
      <c r="AQ518" s="1"/>
      <c r="AR518" s="1"/>
      <c r="AS518" s="1"/>
      <c r="AT518" s="1"/>
      <c r="AU518" s="1"/>
    </row>
    <row r="519" ht="10.5" customHeight="1">
      <c r="A519" s="1"/>
      <c r="B519" s="2"/>
      <c r="C519" s="1"/>
      <c r="D519" s="1"/>
      <c r="E519" s="1"/>
      <c r="F519" s="9"/>
      <c r="G519" s="9"/>
      <c r="H519" s="9"/>
      <c r="I519" s="9"/>
      <c r="J519" s="93"/>
      <c r="K519" s="9"/>
      <c r="L519" s="9"/>
      <c r="M519" s="9"/>
      <c r="N519" s="9"/>
      <c r="O519" s="9"/>
      <c r="P519" s="9"/>
      <c r="Q519" s="93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1"/>
      <c r="AL519" s="1"/>
      <c r="AM519" s="1"/>
      <c r="AN519" s="94"/>
      <c r="AO519" s="1"/>
      <c r="AP519" s="1"/>
      <c r="AQ519" s="1"/>
      <c r="AR519" s="1"/>
      <c r="AS519" s="1"/>
      <c r="AT519" s="1"/>
      <c r="AU519" s="1"/>
    </row>
    <row r="520" ht="10.5" customHeight="1">
      <c r="A520" s="1"/>
      <c r="B520" s="2"/>
      <c r="C520" s="1"/>
      <c r="D520" s="1"/>
      <c r="E520" s="1"/>
      <c r="F520" s="9"/>
      <c r="G520" s="9"/>
      <c r="H520" s="9"/>
      <c r="I520" s="9"/>
      <c r="J520" s="93"/>
      <c r="K520" s="9"/>
      <c r="L520" s="9"/>
      <c r="M520" s="9"/>
      <c r="N520" s="9"/>
      <c r="O520" s="9"/>
      <c r="P520" s="9"/>
      <c r="Q520" s="93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1"/>
      <c r="AL520" s="1"/>
      <c r="AM520" s="1"/>
      <c r="AN520" s="94"/>
      <c r="AO520" s="1"/>
      <c r="AP520" s="1"/>
      <c r="AQ520" s="1"/>
      <c r="AR520" s="1"/>
      <c r="AS520" s="1"/>
      <c r="AT520" s="1"/>
      <c r="AU520" s="1"/>
    </row>
    <row r="521" ht="10.5" customHeight="1">
      <c r="A521" s="1"/>
      <c r="B521" s="2"/>
      <c r="C521" s="1"/>
      <c r="D521" s="1"/>
      <c r="E521" s="1"/>
      <c r="F521" s="9"/>
      <c r="G521" s="9"/>
      <c r="H521" s="9"/>
      <c r="I521" s="9"/>
      <c r="J521" s="93"/>
      <c r="K521" s="9"/>
      <c r="L521" s="9"/>
      <c r="M521" s="9"/>
      <c r="N521" s="9"/>
      <c r="O521" s="9"/>
      <c r="P521" s="9"/>
      <c r="Q521" s="93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"/>
      <c r="AL521" s="1"/>
      <c r="AM521" s="1"/>
      <c r="AN521" s="94"/>
      <c r="AO521" s="1"/>
      <c r="AP521" s="1"/>
      <c r="AQ521" s="1"/>
      <c r="AR521" s="1"/>
      <c r="AS521" s="1"/>
      <c r="AT521" s="1"/>
      <c r="AU521" s="1"/>
    </row>
    <row r="522" ht="10.5" customHeight="1">
      <c r="A522" s="1"/>
      <c r="B522" s="2"/>
      <c r="C522" s="1"/>
      <c r="D522" s="1"/>
      <c r="E522" s="1"/>
      <c r="F522" s="9"/>
      <c r="G522" s="9"/>
      <c r="H522" s="9"/>
      <c r="I522" s="9"/>
      <c r="J522" s="93"/>
      <c r="K522" s="9"/>
      <c r="L522" s="9"/>
      <c r="M522" s="9"/>
      <c r="N522" s="9"/>
      <c r="O522" s="9"/>
      <c r="P522" s="9"/>
      <c r="Q522" s="93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"/>
      <c r="AL522" s="1"/>
      <c r="AM522" s="1"/>
      <c r="AN522" s="94"/>
      <c r="AO522" s="1"/>
      <c r="AP522" s="1"/>
      <c r="AQ522" s="1"/>
      <c r="AR522" s="1"/>
      <c r="AS522" s="1"/>
      <c r="AT522" s="1"/>
      <c r="AU522" s="1"/>
    </row>
    <row r="523" ht="10.5" customHeight="1">
      <c r="A523" s="1"/>
      <c r="B523" s="2"/>
      <c r="C523" s="1"/>
      <c r="D523" s="1"/>
      <c r="E523" s="1"/>
      <c r="F523" s="9"/>
      <c r="G523" s="9"/>
      <c r="H523" s="9"/>
      <c r="I523" s="9"/>
      <c r="J523" s="93"/>
      <c r="K523" s="9"/>
      <c r="L523" s="9"/>
      <c r="M523" s="9"/>
      <c r="N523" s="9"/>
      <c r="O523" s="9"/>
      <c r="P523" s="9"/>
      <c r="Q523" s="93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"/>
      <c r="AL523" s="1"/>
      <c r="AM523" s="1"/>
      <c r="AN523" s="94"/>
      <c r="AO523" s="1"/>
      <c r="AP523" s="1"/>
      <c r="AQ523" s="1"/>
      <c r="AR523" s="1"/>
      <c r="AS523" s="1"/>
      <c r="AT523" s="1"/>
      <c r="AU523" s="1"/>
    </row>
    <row r="524" ht="10.5" customHeight="1">
      <c r="A524" s="1"/>
      <c r="B524" s="2"/>
      <c r="C524" s="1"/>
      <c r="D524" s="1"/>
      <c r="E524" s="1"/>
      <c r="F524" s="9"/>
      <c r="G524" s="9"/>
      <c r="H524" s="9"/>
      <c r="I524" s="9"/>
      <c r="J524" s="93"/>
      <c r="K524" s="9"/>
      <c r="L524" s="9"/>
      <c r="M524" s="9"/>
      <c r="N524" s="9"/>
      <c r="O524" s="9"/>
      <c r="P524" s="9"/>
      <c r="Q524" s="93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"/>
      <c r="AL524" s="1"/>
      <c r="AM524" s="1"/>
      <c r="AN524" s="94"/>
      <c r="AO524" s="1"/>
      <c r="AP524" s="1"/>
      <c r="AQ524" s="1"/>
      <c r="AR524" s="1"/>
      <c r="AS524" s="1"/>
      <c r="AT524" s="1"/>
      <c r="AU524" s="1"/>
    </row>
    <row r="525" ht="10.5" customHeight="1">
      <c r="A525" s="1"/>
      <c r="B525" s="2"/>
      <c r="C525" s="1"/>
      <c r="D525" s="1"/>
      <c r="E525" s="1"/>
      <c r="F525" s="9"/>
      <c r="G525" s="9"/>
      <c r="H525" s="9"/>
      <c r="I525" s="9"/>
      <c r="J525" s="93"/>
      <c r="K525" s="9"/>
      <c r="L525" s="9"/>
      <c r="M525" s="9"/>
      <c r="N525" s="9"/>
      <c r="O525" s="9"/>
      <c r="P525" s="9"/>
      <c r="Q525" s="93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1"/>
      <c r="AL525" s="1"/>
      <c r="AM525" s="1"/>
      <c r="AN525" s="94"/>
      <c r="AO525" s="1"/>
      <c r="AP525" s="1"/>
      <c r="AQ525" s="1"/>
      <c r="AR525" s="1"/>
      <c r="AS525" s="1"/>
      <c r="AT525" s="1"/>
      <c r="AU525" s="1"/>
    </row>
    <row r="526" ht="10.5" customHeight="1">
      <c r="A526" s="1"/>
      <c r="B526" s="2"/>
      <c r="C526" s="1"/>
      <c r="D526" s="1"/>
      <c r="E526" s="1"/>
      <c r="F526" s="9"/>
      <c r="G526" s="9"/>
      <c r="H526" s="9"/>
      <c r="I526" s="9"/>
      <c r="J526" s="93"/>
      <c r="K526" s="9"/>
      <c r="L526" s="9"/>
      <c r="M526" s="9"/>
      <c r="N526" s="9"/>
      <c r="O526" s="9"/>
      <c r="P526" s="9"/>
      <c r="Q526" s="93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"/>
      <c r="AL526" s="1"/>
      <c r="AM526" s="1"/>
      <c r="AN526" s="94"/>
      <c r="AO526" s="1"/>
      <c r="AP526" s="1"/>
      <c r="AQ526" s="1"/>
      <c r="AR526" s="1"/>
      <c r="AS526" s="1"/>
      <c r="AT526" s="1"/>
      <c r="AU526" s="1"/>
    </row>
    <row r="527" ht="10.5" customHeight="1">
      <c r="A527" s="1"/>
      <c r="B527" s="2"/>
      <c r="C527" s="1"/>
      <c r="D527" s="1"/>
      <c r="E527" s="1"/>
      <c r="F527" s="9"/>
      <c r="G527" s="9"/>
      <c r="H527" s="9"/>
      <c r="I527" s="9"/>
      <c r="J527" s="93"/>
      <c r="K527" s="9"/>
      <c r="L527" s="9"/>
      <c r="M527" s="9"/>
      <c r="N527" s="9"/>
      <c r="O527" s="9"/>
      <c r="P527" s="9"/>
      <c r="Q527" s="93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"/>
      <c r="AL527" s="1"/>
      <c r="AM527" s="1"/>
      <c r="AN527" s="94"/>
      <c r="AO527" s="1"/>
      <c r="AP527" s="1"/>
      <c r="AQ527" s="1"/>
      <c r="AR527" s="1"/>
      <c r="AS527" s="1"/>
      <c r="AT527" s="1"/>
      <c r="AU527" s="1"/>
    </row>
    <row r="528" ht="10.5" customHeight="1">
      <c r="A528" s="1"/>
      <c r="B528" s="2"/>
      <c r="C528" s="1"/>
      <c r="D528" s="1"/>
      <c r="E528" s="1"/>
      <c r="F528" s="9"/>
      <c r="G528" s="9"/>
      <c r="H528" s="9"/>
      <c r="I528" s="9"/>
      <c r="J528" s="93"/>
      <c r="K528" s="9"/>
      <c r="L528" s="9"/>
      <c r="M528" s="9"/>
      <c r="N528" s="9"/>
      <c r="O528" s="9"/>
      <c r="P528" s="9"/>
      <c r="Q528" s="93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1"/>
      <c r="AL528" s="1"/>
      <c r="AM528" s="1"/>
      <c r="AN528" s="94"/>
      <c r="AO528" s="1"/>
      <c r="AP528" s="1"/>
      <c r="AQ528" s="1"/>
      <c r="AR528" s="1"/>
      <c r="AS528" s="1"/>
      <c r="AT528" s="1"/>
      <c r="AU528" s="1"/>
    </row>
    <row r="529" ht="10.5" customHeight="1">
      <c r="A529" s="1"/>
      <c r="B529" s="2"/>
      <c r="C529" s="1"/>
      <c r="D529" s="1"/>
      <c r="E529" s="1"/>
      <c r="F529" s="9"/>
      <c r="G529" s="9"/>
      <c r="H529" s="9"/>
      <c r="I529" s="9"/>
      <c r="J529" s="93"/>
      <c r="K529" s="9"/>
      <c r="L529" s="9"/>
      <c r="M529" s="9"/>
      <c r="N529" s="9"/>
      <c r="O529" s="9"/>
      <c r="P529" s="9"/>
      <c r="Q529" s="93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"/>
      <c r="AL529" s="1"/>
      <c r="AM529" s="1"/>
      <c r="AN529" s="94"/>
      <c r="AO529" s="1"/>
      <c r="AP529" s="1"/>
      <c r="AQ529" s="1"/>
      <c r="AR529" s="1"/>
      <c r="AS529" s="1"/>
      <c r="AT529" s="1"/>
      <c r="AU529" s="1"/>
    </row>
    <row r="530" ht="10.5" customHeight="1">
      <c r="A530" s="1"/>
      <c r="B530" s="2"/>
      <c r="C530" s="1"/>
      <c r="D530" s="1"/>
      <c r="E530" s="1"/>
      <c r="F530" s="9"/>
      <c r="G530" s="9"/>
      <c r="H530" s="9"/>
      <c r="I530" s="9"/>
      <c r="J530" s="93"/>
      <c r="K530" s="9"/>
      <c r="L530" s="9"/>
      <c r="M530" s="9"/>
      <c r="N530" s="9"/>
      <c r="O530" s="9"/>
      <c r="P530" s="9"/>
      <c r="Q530" s="93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"/>
      <c r="AL530" s="1"/>
      <c r="AM530" s="1"/>
      <c r="AN530" s="94"/>
      <c r="AO530" s="1"/>
      <c r="AP530" s="1"/>
      <c r="AQ530" s="1"/>
      <c r="AR530" s="1"/>
      <c r="AS530" s="1"/>
      <c r="AT530" s="1"/>
      <c r="AU530" s="1"/>
    </row>
    <row r="531" ht="10.5" customHeight="1">
      <c r="A531" s="1"/>
      <c r="B531" s="2"/>
      <c r="C531" s="1"/>
      <c r="D531" s="1"/>
      <c r="E531" s="1"/>
      <c r="F531" s="9"/>
      <c r="G531" s="9"/>
      <c r="H531" s="9"/>
      <c r="I531" s="9"/>
      <c r="J531" s="93"/>
      <c r="K531" s="9"/>
      <c r="L531" s="9"/>
      <c r="M531" s="9"/>
      <c r="N531" s="9"/>
      <c r="O531" s="9"/>
      <c r="P531" s="9"/>
      <c r="Q531" s="93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"/>
      <c r="AL531" s="1"/>
      <c r="AM531" s="1"/>
      <c r="AN531" s="94"/>
      <c r="AO531" s="1"/>
      <c r="AP531" s="1"/>
      <c r="AQ531" s="1"/>
      <c r="AR531" s="1"/>
      <c r="AS531" s="1"/>
      <c r="AT531" s="1"/>
      <c r="AU531" s="1"/>
    </row>
    <row r="532" ht="10.5" customHeight="1">
      <c r="A532" s="1"/>
      <c r="B532" s="2"/>
      <c r="C532" s="1"/>
      <c r="D532" s="1"/>
      <c r="E532" s="1"/>
      <c r="F532" s="9"/>
      <c r="G532" s="9"/>
      <c r="H532" s="9"/>
      <c r="I532" s="9"/>
      <c r="J532" s="93"/>
      <c r="K532" s="9"/>
      <c r="L532" s="9"/>
      <c r="M532" s="9"/>
      <c r="N532" s="9"/>
      <c r="O532" s="9"/>
      <c r="P532" s="9"/>
      <c r="Q532" s="93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"/>
      <c r="AL532" s="1"/>
      <c r="AM532" s="1"/>
      <c r="AN532" s="94"/>
      <c r="AO532" s="1"/>
      <c r="AP532" s="1"/>
      <c r="AQ532" s="1"/>
      <c r="AR532" s="1"/>
      <c r="AS532" s="1"/>
      <c r="AT532" s="1"/>
      <c r="AU532" s="1"/>
    </row>
    <row r="533" ht="10.5" customHeight="1">
      <c r="A533" s="1"/>
      <c r="B533" s="2"/>
      <c r="C533" s="1"/>
      <c r="D533" s="1"/>
      <c r="E533" s="1"/>
      <c r="F533" s="9"/>
      <c r="G533" s="9"/>
      <c r="H533" s="9"/>
      <c r="I533" s="9"/>
      <c r="J533" s="93"/>
      <c r="K533" s="9"/>
      <c r="L533" s="9"/>
      <c r="M533" s="9"/>
      <c r="N533" s="9"/>
      <c r="O533" s="9"/>
      <c r="P533" s="9"/>
      <c r="Q533" s="93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1"/>
      <c r="AL533" s="1"/>
      <c r="AM533" s="1"/>
      <c r="AN533" s="94"/>
      <c r="AO533" s="1"/>
      <c r="AP533" s="1"/>
      <c r="AQ533" s="1"/>
      <c r="AR533" s="1"/>
      <c r="AS533" s="1"/>
      <c r="AT533" s="1"/>
      <c r="AU533" s="1"/>
    </row>
    <row r="534" ht="10.5" customHeight="1">
      <c r="A534" s="1"/>
      <c r="B534" s="2"/>
      <c r="C534" s="1"/>
      <c r="D534" s="1"/>
      <c r="E534" s="1"/>
      <c r="F534" s="9"/>
      <c r="G534" s="9"/>
      <c r="H534" s="9"/>
      <c r="I534" s="9"/>
      <c r="J534" s="93"/>
      <c r="K534" s="9"/>
      <c r="L534" s="9"/>
      <c r="M534" s="9"/>
      <c r="N534" s="9"/>
      <c r="O534" s="9"/>
      <c r="P534" s="9"/>
      <c r="Q534" s="93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"/>
      <c r="AL534" s="1"/>
      <c r="AM534" s="1"/>
      <c r="AN534" s="94"/>
      <c r="AO534" s="1"/>
      <c r="AP534" s="1"/>
      <c r="AQ534" s="1"/>
      <c r="AR534" s="1"/>
      <c r="AS534" s="1"/>
      <c r="AT534" s="1"/>
      <c r="AU534" s="1"/>
    </row>
    <row r="535" ht="10.5" customHeight="1">
      <c r="A535" s="1"/>
      <c r="B535" s="2"/>
      <c r="C535" s="1"/>
      <c r="D535" s="1"/>
      <c r="E535" s="1"/>
      <c r="F535" s="9"/>
      <c r="G535" s="9"/>
      <c r="H535" s="9"/>
      <c r="I535" s="9"/>
      <c r="J535" s="93"/>
      <c r="K535" s="9"/>
      <c r="L535" s="9"/>
      <c r="M535" s="9"/>
      <c r="N535" s="9"/>
      <c r="O535" s="9"/>
      <c r="P535" s="9"/>
      <c r="Q535" s="93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"/>
      <c r="AL535" s="1"/>
      <c r="AM535" s="1"/>
      <c r="AN535" s="94"/>
      <c r="AO535" s="1"/>
      <c r="AP535" s="1"/>
      <c r="AQ535" s="1"/>
      <c r="AR535" s="1"/>
      <c r="AS535" s="1"/>
      <c r="AT535" s="1"/>
      <c r="AU535" s="1"/>
    </row>
    <row r="536" ht="10.5" customHeight="1">
      <c r="A536" s="1"/>
      <c r="B536" s="2"/>
      <c r="C536" s="1"/>
      <c r="D536" s="1"/>
      <c r="E536" s="1"/>
      <c r="F536" s="9"/>
      <c r="G536" s="9"/>
      <c r="H536" s="9"/>
      <c r="I536" s="9"/>
      <c r="J536" s="93"/>
      <c r="K536" s="9"/>
      <c r="L536" s="9"/>
      <c r="M536" s="9"/>
      <c r="N536" s="9"/>
      <c r="O536" s="9"/>
      <c r="P536" s="9"/>
      <c r="Q536" s="93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"/>
      <c r="AL536" s="1"/>
      <c r="AM536" s="1"/>
      <c r="AN536" s="94"/>
      <c r="AO536" s="1"/>
      <c r="AP536" s="1"/>
      <c r="AQ536" s="1"/>
      <c r="AR536" s="1"/>
      <c r="AS536" s="1"/>
      <c r="AT536" s="1"/>
      <c r="AU536" s="1"/>
    </row>
    <row r="537" ht="10.5" customHeight="1">
      <c r="A537" s="1"/>
      <c r="B537" s="2"/>
      <c r="C537" s="1"/>
      <c r="D537" s="1"/>
      <c r="E537" s="1"/>
      <c r="F537" s="9"/>
      <c r="G537" s="9"/>
      <c r="H537" s="9"/>
      <c r="I537" s="9"/>
      <c r="J537" s="93"/>
      <c r="K537" s="9"/>
      <c r="L537" s="9"/>
      <c r="M537" s="9"/>
      <c r="N537" s="9"/>
      <c r="O537" s="9"/>
      <c r="P537" s="9"/>
      <c r="Q537" s="93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1"/>
      <c r="AL537" s="1"/>
      <c r="AM537" s="1"/>
      <c r="AN537" s="94"/>
      <c r="AO537" s="1"/>
      <c r="AP537" s="1"/>
      <c r="AQ537" s="1"/>
      <c r="AR537" s="1"/>
      <c r="AS537" s="1"/>
      <c r="AT537" s="1"/>
      <c r="AU537" s="1"/>
    </row>
    <row r="538" ht="10.5" customHeight="1">
      <c r="A538" s="1"/>
      <c r="B538" s="2"/>
      <c r="C538" s="1"/>
      <c r="D538" s="1"/>
      <c r="E538" s="1"/>
      <c r="F538" s="9"/>
      <c r="G538" s="9"/>
      <c r="H538" s="9"/>
      <c r="I538" s="9"/>
      <c r="J538" s="93"/>
      <c r="K538" s="9"/>
      <c r="L538" s="9"/>
      <c r="M538" s="9"/>
      <c r="N538" s="9"/>
      <c r="O538" s="9"/>
      <c r="P538" s="9"/>
      <c r="Q538" s="93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"/>
      <c r="AL538" s="1"/>
      <c r="AM538" s="1"/>
      <c r="AN538" s="94"/>
      <c r="AO538" s="1"/>
      <c r="AP538" s="1"/>
      <c r="AQ538" s="1"/>
      <c r="AR538" s="1"/>
      <c r="AS538" s="1"/>
      <c r="AT538" s="1"/>
      <c r="AU538" s="1"/>
    </row>
    <row r="539" ht="10.5" customHeight="1">
      <c r="A539" s="1"/>
      <c r="B539" s="2"/>
      <c r="C539" s="1"/>
      <c r="D539" s="1"/>
      <c r="E539" s="1"/>
      <c r="F539" s="9"/>
      <c r="G539" s="9"/>
      <c r="H539" s="9"/>
      <c r="I539" s="9"/>
      <c r="J539" s="93"/>
      <c r="K539" s="9"/>
      <c r="L539" s="9"/>
      <c r="M539" s="9"/>
      <c r="N539" s="9"/>
      <c r="O539" s="9"/>
      <c r="P539" s="9"/>
      <c r="Q539" s="93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"/>
      <c r="AL539" s="1"/>
      <c r="AM539" s="1"/>
      <c r="AN539" s="94"/>
      <c r="AO539" s="1"/>
      <c r="AP539" s="1"/>
      <c r="AQ539" s="1"/>
      <c r="AR539" s="1"/>
      <c r="AS539" s="1"/>
      <c r="AT539" s="1"/>
      <c r="AU539" s="1"/>
    </row>
    <row r="540" ht="10.5" customHeight="1">
      <c r="A540" s="1"/>
      <c r="B540" s="2"/>
      <c r="C540" s="1"/>
      <c r="D540" s="1"/>
      <c r="E540" s="1"/>
      <c r="F540" s="9"/>
      <c r="G540" s="9"/>
      <c r="H540" s="9"/>
      <c r="I540" s="9"/>
      <c r="J540" s="93"/>
      <c r="K540" s="9"/>
      <c r="L540" s="9"/>
      <c r="M540" s="9"/>
      <c r="N540" s="9"/>
      <c r="O540" s="9"/>
      <c r="P540" s="9"/>
      <c r="Q540" s="93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1"/>
      <c r="AL540" s="1"/>
      <c r="AM540" s="1"/>
      <c r="AN540" s="94"/>
      <c r="AO540" s="1"/>
      <c r="AP540" s="1"/>
      <c r="AQ540" s="1"/>
      <c r="AR540" s="1"/>
      <c r="AS540" s="1"/>
      <c r="AT540" s="1"/>
      <c r="AU540" s="1"/>
    </row>
    <row r="541" ht="10.5" customHeight="1">
      <c r="A541" s="1"/>
      <c r="B541" s="2"/>
      <c r="C541" s="1"/>
      <c r="D541" s="1"/>
      <c r="E541" s="1"/>
      <c r="F541" s="9"/>
      <c r="G541" s="9"/>
      <c r="H541" s="9"/>
      <c r="I541" s="9"/>
      <c r="J541" s="93"/>
      <c r="K541" s="9"/>
      <c r="L541" s="9"/>
      <c r="M541" s="9"/>
      <c r="N541" s="9"/>
      <c r="O541" s="9"/>
      <c r="P541" s="9"/>
      <c r="Q541" s="93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"/>
      <c r="AL541" s="1"/>
      <c r="AM541" s="1"/>
      <c r="AN541" s="94"/>
      <c r="AO541" s="1"/>
      <c r="AP541" s="1"/>
      <c r="AQ541" s="1"/>
      <c r="AR541" s="1"/>
      <c r="AS541" s="1"/>
      <c r="AT541" s="1"/>
      <c r="AU541" s="1"/>
    </row>
    <row r="542" ht="10.5" customHeight="1">
      <c r="A542" s="1"/>
      <c r="B542" s="2"/>
      <c r="C542" s="1"/>
      <c r="D542" s="1"/>
      <c r="E542" s="1"/>
      <c r="F542" s="9"/>
      <c r="G542" s="9"/>
      <c r="H542" s="9"/>
      <c r="I542" s="9"/>
      <c r="J542" s="93"/>
      <c r="K542" s="9"/>
      <c r="L542" s="9"/>
      <c r="M542" s="9"/>
      <c r="N542" s="9"/>
      <c r="O542" s="9"/>
      <c r="P542" s="9"/>
      <c r="Q542" s="93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"/>
      <c r="AL542" s="1"/>
      <c r="AM542" s="1"/>
      <c r="AN542" s="94"/>
      <c r="AO542" s="1"/>
      <c r="AP542" s="1"/>
      <c r="AQ542" s="1"/>
      <c r="AR542" s="1"/>
      <c r="AS542" s="1"/>
      <c r="AT542" s="1"/>
      <c r="AU542" s="1"/>
    </row>
    <row r="543" ht="10.5" customHeight="1">
      <c r="A543" s="1"/>
      <c r="B543" s="2"/>
      <c r="C543" s="1"/>
      <c r="D543" s="1"/>
      <c r="E543" s="1"/>
      <c r="F543" s="9"/>
      <c r="G543" s="9"/>
      <c r="H543" s="9"/>
      <c r="I543" s="9"/>
      <c r="J543" s="93"/>
      <c r="K543" s="9"/>
      <c r="L543" s="9"/>
      <c r="M543" s="9"/>
      <c r="N543" s="9"/>
      <c r="O543" s="9"/>
      <c r="P543" s="9"/>
      <c r="Q543" s="93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"/>
      <c r="AL543" s="1"/>
      <c r="AM543" s="1"/>
      <c r="AN543" s="94"/>
      <c r="AO543" s="1"/>
      <c r="AP543" s="1"/>
      <c r="AQ543" s="1"/>
      <c r="AR543" s="1"/>
      <c r="AS543" s="1"/>
      <c r="AT543" s="1"/>
      <c r="AU543" s="1"/>
    </row>
    <row r="544" ht="10.5" customHeight="1">
      <c r="A544" s="1"/>
      <c r="B544" s="2"/>
      <c r="C544" s="1"/>
      <c r="D544" s="1"/>
      <c r="E544" s="1"/>
      <c r="F544" s="9"/>
      <c r="G544" s="9"/>
      <c r="H544" s="9"/>
      <c r="I544" s="9"/>
      <c r="J544" s="93"/>
      <c r="K544" s="9"/>
      <c r="L544" s="9"/>
      <c r="M544" s="9"/>
      <c r="N544" s="9"/>
      <c r="O544" s="9"/>
      <c r="P544" s="9"/>
      <c r="Q544" s="93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"/>
      <c r="AL544" s="1"/>
      <c r="AM544" s="1"/>
      <c r="AN544" s="94"/>
      <c r="AO544" s="1"/>
      <c r="AP544" s="1"/>
      <c r="AQ544" s="1"/>
      <c r="AR544" s="1"/>
      <c r="AS544" s="1"/>
      <c r="AT544" s="1"/>
      <c r="AU544" s="1"/>
    </row>
    <row r="545" ht="10.5" customHeight="1">
      <c r="A545" s="1"/>
      <c r="B545" s="2"/>
      <c r="C545" s="1"/>
      <c r="D545" s="1"/>
      <c r="E545" s="1"/>
      <c r="F545" s="9"/>
      <c r="G545" s="9"/>
      <c r="H545" s="9"/>
      <c r="I545" s="9"/>
      <c r="J545" s="93"/>
      <c r="K545" s="9"/>
      <c r="L545" s="9"/>
      <c r="M545" s="9"/>
      <c r="N545" s="9"/>
      <c r="O545" s="9"/>
      <c r="P545" s="9"/>
      <c r="Q545" s="93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"/>
      <c r="AL545" s="1"/>
      <c r="AM545" s="1"/>
      <c r="AN545" s="94"/>
      <c r="AO545" s="1"/>
      <c r="AP545" s="1"/>
      <c r="AQ545" s="1"/>
      <c r="AR545" s="1"/>
      <c r="AS545" s="1"/>
      <c r="AT545" s="1"/>
      <c r="AU545" s="1"/>
    </row>
    <row r="546" ht="10.5" customHeight="1">
      <c r="A546" s="1"/>
      <c r="B546" s="2"/>
      <c r="C546" s="1"/>
      <c r="D546" s="1"/>
      <c r="E546" s="1"/>
      <c r="F546" s="9"/>
      <c r="G546" s="9"/>
      <c r="H546" s="9"/>
      <c r="I546" s="9"/>
      <c r="J546" s="93"/>
      <c r="K546" s="9"/>
      <c r="L546" s="9"/>
      <c r="M546" s="9"/>
      <c r="N546" s="9"/>
      <c r="O546" s="9"/>
      <c r="P546" s="9"/>
      <c r="Q546" s="93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"/>
      <c r="AL546" s="1"/>
      <c r="AM546" s="1"/>
      <c r="AN546" s="94"/>
      <c r="AO546" s="1"/>
      <c r="AP546" s="1"/>
      <c r="AQ546" s="1"/>
      <c r="AR546" s="1"/>
      <c r="AS546" s="1"/>
      <c r="AT546" s="1"/>
      <c r="AU546" s="1"/>
    </row>
    <row r="547" ht="10.5" customHeight="1">
      <c r="A547" s="1"/>
      <c r="B547" s="2"/>
      <c r="C547" s="1"/>
      <c r="D547" s="1"/>
      <c r="E547" s="1"/>
      <c r="F547" s="9"/>
      <c r="G547" s="9"/>
      <c r="H547" s="9"/>
      <c r="I547" s="9"/>
      <c r="J547" s="93"/>
      <c r="K547" s="9"/>
      <c r="L547" s="9"/>
      <c r="M547" s="9"/>
      <c r="N547" s="9"/>
      <c r="O547" s="9"/>
      <c r="P547" s="9"/>
      <c r="Q547" s="93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1"/>
      <c r="AL547" s="1"/>
      <c r="AM547" s="1"/>
      <c r="AN547" s="94"/>
      <c r="AO547" s="1"/>
      <c r="AP547" s="1"/>
      <c r="AQ547" s="1"/>
      <c r="AR547" s="1"/>
      <c r="AS547" s="1"/>
      <c r="AT547" s="1"/>
      <c r="AU547" s="1"/>
    </row>
    <row r="548" ht="10.5" customHeight="1">
      <c r="A548" s="1"/>
      <c r="B548" s="2"/>
      <c r="C548" s="1"/>
      <c r="D548" s="1"/>
      <c r="E548" s="1"/>
      <c r="F548" s="9"/>
      <c r="G548" s="9"/>
      <c r="H548" s="9"/>
      <c r="I548" s="9"/>
      <c r="J548" s="93"/>
      <c r="K548" s="9"/>
      <c r="L548" s="9"/>
      <c r="M548" s="9"/>
      <c r="N548" s="9"/>
      <c r="O548" s="9"/>
      <c r="P548" s="9"/>
      <c r="Q548" s="93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"/>
      <c r="AL548" s="1"/>
      <c r="AM548" s="1"/>
      <c r="AN548" s="94"/>
      <c r="AO548" s="1"/>
      <c r="AP548" s="1"/>
      <c r="AQ548" s="1"/>
      <c r="AR548" s="1"/>
      <c r="AS548" s="1"/>
      <c r="AT548" s="1"/>
      <c r="AU548" s="1"/>
    </row>
    <row r="549" ht="10.5" customHeight="1">
      <c r="A549" s="1"/>
      <c r="B549" s="2"/>
      <c r="C549" s="1"/>
      <c r="D549" s="1"/>
      <c r="E549" s="1"/>
      <c r="F549" s="9"/>
      <c r="G549" s="9"/>
      <c r="H549" s="9"/>
      <c r="I549" s="9"/>
      <c r="J549" s="93"/>
      <c r="K549" s="9"/>
      <c r="L549" s="9"/>
      <c r="M549" s="9"/>
      <c r="N549" s="9"/>
      <c r="O549" s="9"/>
      <c r="P549" s="9"/>
      <c r="Q549" s="93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"/>
      <c r="AL549" s="1"/>
      <c r="AM549" s="1"/>
      <c r="AN549" s="94"/>
      <c r="AO549" s="1"/>
      <c r="AP549" s="1"/>
      <c r="AQ549" s="1"/>
      <c r="AR549" s="1"/>
      <c r="AS549" s="1"/>
      <c r="AT549" s="1"/>
      <c r="AU549" s="1"/>
    </row>
    <row r="550" ht="10.5" customHeight="1">
      <c r="A550" s="1"/>
      <c r="B550" s="2"/>
      <c r="C550" s="1"/>
      <c r="D550" s="1"/>
      <c r="E550" s="1"/>
      <c r="F550" s="9"/>
      <c r="G550" s="9"/>
      <c r="H550" s="9"/>
      <c r="I550" s="9"/>
      <c r="J550" s="93"/>
      <c r="K550" s="9"/>
      <c r="L550" s="9"/>
      <c r="M550" s="9"/>
      <c r="N550" s="9"/>
      <c r="O550" s="9"/>
      <c r="P550" s="9"/>
      <c r="Q550" s="93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"/>
      <c r="AL550" s="1"/>
      <c r="AM550" s="1"/>
      <c r="AN550" s="94"/>
      <c r="AO550" s="1"/>
      <c r="AP550" s="1"/>
      <c r="AQ550" s="1"/>
      <c r="AR550" s="1"/>
      <c r="AS550" s="1"/>
      <c r="AT550" s="1"/>
      <c r="AU550" s="1"/>
    </row>
    <row r="551" ht="10.5" customHeight="1">
      <c r="A551" s="1"/>
      <c r="B551" s="2"/>
      <c r="C551" s="1"/>
      <c r="D551" s="1"/>
      <c r="E551" s="1"/>
      <c r="F551" s="9"/>
      <c r="G551" s="9"/>
      <c r="H551" s="9"/>
      <c r="I551" s="9"/>
      <c r="J551" s="93"/>
      <c r="K551" s="9"/>
      <c r="L551" s="9"/>
      <c r="M551" s="9"/>
      <c r="N551" s="9"/>
      <c r="O551" s="9"/>
      <c r="P551" s="9"/>
      <c r="Q551" s="93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"/>
      <c r="AL551" s="1"/>
      <c r="AM551" s="1"/>
      <c r="AN551" s="94"/>
      <c r="AO551" s="1"/>
      <c r="AP551" s="1"/>
      <c r="AQ551" s="1"/>
      <c r="AR551" s="1"/>
      <c r="AS551" s="1"/>
      <c r="AT551" s="1"/>
      <c r="AU551" s="1"/>
    </row>
    <row r="552" ht="10.5" customHeight="1">
      <c r="A552" s="1"/>
      <c r="B552" s="2"/>
      <c r="C552" s="1"/>
      <c r="D552" s="1"/>
      <c r="E552" s="1"/>
      <c r="F552" s="9"/>
      <c r="G552" s="9"/>
      <c r="H552" s="9"/>
      <c r="I552" s="9"/>
      <c r="J552" s="93"/>
      <c r="K552" s="9"/>
      <c r="L552" s="9"/>
      <c r="M552" s="9"/>
      <c r="N552" s="9"/>
      <c r="O552" s="9"/>
      <c r="P552" s="9"/>
      <c r="Q552" s="93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"/>
      <c r="AL552" s="1"/>
      <c r="AM552" s="1"/>
      <c r="AN552" s="94"/>
      <c r="AO552" s="1"/>
      <c r="AP552" s="1"/>
      <c r="AQ552" s="1"/>
      <c r="AR552" s="1"/>
      <c r="AS552" s="1"/>
      <c r="AT552" s="1"/>
      <c r="AU552" s="1"/>
    </row>
    <row r="553" ht="10.5" customHeight="1">
      <c r="A553" s="1"/>
      <c r="B553" s="2"/>
      <c r="C553" s="1"/>
      <c r="D553" s="1"/>
      <c r="E553" s="1"/>
      <c r="F553" s="9"/>
      <c r="G553" s="9"/>
      <c r="H553" s="9"/>
      <c r="I553" s="9"/>
      <c r="J553" s="93"/>
      <c r="K553" s="9"/>
      <c r="L553" s="9"/>
      <c r="M553" s="9"/>
      <c r="N553" s="9"/>
      <c r="O553" s="9"/>
      <c r="P553" s="9"/>
      <c r="Q553" s="93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"/>
      <c r="AL553" s="1"/>
      <c r="AM553" s="1"/>
      <c r="AN553" s="94"/>
      <c r="AO553" s="1"/>
      <c r="AP553" s="1"/>
      <c r="AQ553" s="1"/>
      <c r="AR553" s="1"/>
      <c r="AS553" s="1"/>
      <c r="AT553" s="1"/>
      <c r="AU553" s="1"/>
    </row>
    <row r="554" ht="10.5" customHeight="1">
      <c r="A554" s="1"/>
      <c r="B554" s="2"/>
      <c r="C554" s="1"/>
      <c r="D554" s="1"/>
      <c r="E554" s="1"/>
      <c r="F554" s="9"/>
      <c r="G554" s="9"/>
      <c r="H554" s="9"/>
      <c r="I554" s="9"/>
      <c r="J554" s="93"/>
      <c r="K554" s="9"/>
      <c r="L554" s="9"/>
      <c r="M554" s="9"/>
      <c r="N554" s="9"/>
      <c r="O554" s="9"/>
      <c r="P554" s="9"/>
      <c r="Q554" s="93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"/>
      <c r="AL554" s="1"/>
      <c r="AM554" s="1"/>
      <c r="AN554" s="94"/>
      <c r="AO554" s="1"/>
      <c r="AP554" s="1"/>
      <c r="AQ554" s="1"/>
      <c r="AR554" s="1"/>
      <c r="AS554" s="1"/>
      <c r="AT554" s="1"/>
      <c r="AU554" s="1"/>
    </row>
    <row r="555" ht="10.5" customHeight="1">
      <c r="A555" s="1"/>
      <c r="B555" s="2"/>
      <c r="C555" s="1"/>
      <c r="D555" s="1"/>
      <c r="E555" s="1"/>
      <c r="F555" s="9"/>
      <c r="G555" s="9"/>
      <c r="H555" s="9"/>
      <c r="I555" s="9"/>
      <c r="J555" s="93"/>
      <c r="K555" s="9"/>
      <c r="L555" s="9"/>
      <c r="M555" s="9"/>
      <c r="N555" s="9"/>
      <c r="O555" s="9"/>
      <c r="P555" s="9"/>
      <c r="Q555" s="93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"/>
      <c r="AL555" s="1"/>
      <c r="AM555" s="1"/>
      <c r="AN555" s="94"/>
      <c r="AO555" s="1"/>
      <c r="AP555" s="1"/>
      <c r="AQ555" s="1"/>
      <c r="AR555" s="1"/>
      <c r="AS555" s="1"/>
      <c r="AT555" s="1"/>
      <c r="AU555" s="1"/>
    </row>
    <row r="556" ht="10.5" customHeight="1">
      <c r="A556" s="1"/>
      <c r="B556" s="2"/>
      <c r="C556" s="1"/>
      <c r="D556" s="1"/>
      <c r="E556" s="1"/>
      <c r="F556" s="9"/>
      <c r="G556" s="9"/>
      <c r="H556" s="9"/>
      <c r="I556" s="9"/>
      <c r="J556" s="93"/>
      <c r="K556" s="9"/>
      <c r="L556" s="9"/>
      <c r="M556" s="9"/>
      <c r="N556" s="9"/>
      <c r="O556" s="9"/>
      <c r="P556" s="9"/>
      <c r="Q556" s="93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"/>
      <c r="AL556" s="1"/>
      <c r="AM556" s="1"/>
      <c r="AN556" s="94"/>
      <c r="AO556" s="1"/>
      <c r="AP556" s="1"/>
      <c r="AQ556" s="1"/>
      <c r="AR556" s="1"/>
      <c r="AS556" s="1"/>
      <c r="AT556" s="1"/>
      <c r="AU556" s="1"/>
    </row>
    <row r="557" ht="10.5" customHeight="1">
      <c r="A557" s="1"/>
      <c r="B557" s="2"/>
      <c r="C557" s="1"/>
      <c r="D557" s="1"/>
      <c r="E557" s="1"/>
      <c r="F557" s="9"/>
      <c r="G557" s="9"/>
      <c r="H557" s="9"/>
      <c r="I557" s="9"/>
      <c r="J557" s="93"/>
      <c r="K557" s="9"/>
      <c r="L557" s="9"/>
      <c r="M557" s="9"/>
      <c r="N557" s="9"/>
      <c r="O557" s="9"/>
      <c r="P557" s="9"/>
      <c r="Q557" s="93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"/>
      <c r="AL557" s="1"/>
      <c r="AM557" s="1"/>
      <c r="AN557" s="94"/>
      <c r="AO557" s="1"/>
      <c r="AP557" s="1"/>
      <c r="AQ557" s="1"/>
      <c r="AR557" s="1"/>
      <c r="AS557" s="1"/>
      <c r="AT557" s="1"/>
      <c r="AU557" s="1"/>
    </row>
    <row r="558" ht="10.5" customHeight="1">
      <c r="A558" s="1"/>
      <c r="B558" s="2"/>
      <c r="C558" s="1"/>
      <c r="D558" s="1"/>
      <c r="E558" s="1"/>
      <c r="F558" s="9"/>
      <c r="G558" s="9"/>
      <c r="H558" s="9"/>
      <c r="I558" s="9"/>
      <c r="J558" s="93"/>
      <c r="K558" s="9"/>
      <c r="L558" s="9"/>
      <c r="M558" s="9"/>
      <c r="N558" s="9"/>
      <c r="O558" s="9"/>
      <c r="P558" s="9"/>
      <c r="Q558" s="93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"/>
      <c r="AL558" s="1"/>
      <c r="AM558" s="1"/>
      <c r="AN558" s="94"/>
      <c r="AO558" s="1"/>
      <c r="AP558" s="1"/>
      <c r="AQ558" s="1"/>
      <c r="AR558" s="1"/>
      <c r="AS558" s="1"/>
      <c r="AT558" s="1"/>
      <c r="AU558" s="1"/>
    </row>
    <row r="559" ht="10.5" customHeight="1">
      <c r="A559" s="1"/>
      <c r="B559" s="2"/>
      <c r="C559" s="1"/>
      <c r="D559" s="1"/>
      <c r="E559" s="1"/>
      <c r="F559" s="9"/>
      <c r="G559" s="9"/>
      <c r="H559" s="9"/>
      <c r="I559" s="9"/>
      <c r="J559" s="93"/>
      <c r="K559" s="9"/>
      <c r="L559" s="9"/>
      <c r="M559" s="9"/>
      <c r="N559" s="9"/>
      <c r="O559" s="9"/>
      <c r="P559" s="9"/>
      <c r="Q559" s="93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"/>
      <c r="AL559" s="1"/>
      <c r="AM559" s="1"/>
      <c r="AN559" s="94"/>
      <c r="AO559" s="1"/>
      <c r="AP559" s="1"/>
      <c r="AQ559" s="1"/>
      <c r="AR559" s="1"/>
      <c r="AS559" s="1"/>
      <c r="AT559" s="1"/>
      <c r="AU559" s="1"/>
    </row>
    <row r="560" ht="10.5" customHeight="1">
      <c r="A560" s="1"/>
      <c r="B560" s="2"/>
      <c r="C560" s="1"/>
      <c r="D560" s="1"/>
      <c r="E560" s="1"/>
      <c r="F560" s="9"/>
      <c r="G560" s="9"/>
      <c r="H560" s="9"/>
      <c r="I560" s="9"/>
      <c r="J560" s="93"/>
      <c r="K560" s="9"/>
      <c r="L560" s="9"/>
      <c r="M560" s="9"/>
      <c r="N560" s="9"/>
      <c r="O560" s="9"/>
      <c r="P560" s="9"/>
      <c r="Q560" s="93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"/>
      <c r="AL560" s="1"/>
      <c r="AM560" s="1"/>
      <c r="AN560" s="94"/>
      <c r="AO560" s="1"/>
      <c r="AP560" s="1"/>
      <c r="AQ560" s="1"/>
      <c r="AR560" s="1"/>
      <c r="AS560" s="1"/>
      <c r="AT560" s="1"/>
      <c r="AU560" s="1"/>
    </row>
    <row r="561" ht="10.5" customHeight="1">
      <c r="A561" s="1"/>
      <c r="B561" s="2"/>
      <c r="C561" s="1"/>
      <c r="D561" s="1"/>
      <c r="E561" s="1"/>
      <c r="F561" s="9"/>
      <c r="G561" s="9"/>
      <c r="H561" s="9"/>
      <c r="I561" s="9"/>
      <c r="J561" s="93"/>
      <c r="K561" s="9"/>
      <c r="L561" s="9"/>
      <c r="M561" s="9"/>
      <c r="N561" s="9"/>
      <c r="O561" s="9"/>
      <c r="P561" s="9"/>
      <c r="Q561" s="93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"/>
      <c r="AL561" s="1"/>
      <c r="AM561" s="1"/>
      <c r="AN561" s="94"/>
      <c r="AO561" s="1"/>
      <c r="AP561" s="1"/>
      <c r="AQ561" s="1"/>
      <c r="AR561" s="1"/>
      <c r="AS561" s="1"/>
      <c r="AT561" s="1"/>
      <c r="AU561" s="1"/>
    </row>
    <row r="562" ht="10.5" customHeight="1">
      <c r="A562" s="1"/>
      <c r="B562" s="2"/>
      <c r="C562" s="1"/>
      <c r="D562" s="1"/>
      <c r="E562" s="1"/>
      <c r="F562" s="9"/>
      <c r="G562" s="9"/>
      <c r="H562" s="9"/>
      <c r="I562" s="9"/>
      <c r="J562" s="93"/>
      <c r="K562" s="9"/>
      <c r="L562" s="9"/>
      <c r="M562" s="9"/>
      <c r="N562" s="9"/>
      <c r="O562" s="9"/>
      <c r="P562" s="9"/>
      <c r="Q562" s="93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"/>
      <c r="AL562" s="1"/>
      <c r="AM562" s="1"/>
      <c r="AN562" s="94"/>
      <c r="AO562" s="1"/>
      <c r="AP562" s="1"/>
      <c r="AQ562" s="1"/>
      <c r="AR562" s="1"/>
      <c r="AS562" s="1"/>
      <c r="AT562" s="1"/>
      <c r="AU562" s="1"/>
    </row>
    <row r="563" ht="10.5" customHeight="1">
      <c r="A563" s="1"/>
      <c r="B563" s="2"/>
      <c r="C563" s="1"/>
      <c r="D563" s="1"/>
      <c r="E563" s="1"/>
      <c r="F563" s="9"/>
      <c r="G563" s="9"/>
      <c r="H563" s="9"/>
      <c r="I563" s="9"/>
      <c r="J563" s="93"/>
      <c r="K563" s="9"/>
      <c r="L563" s="9"/>
      <c r="M563" s="9"/>
      <c r="N563" s="9"/>
      <c r="O563" s="9"/>
      <c r="P563" s="9"/>
      <c r="Q563" s="93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"/>
      <c r="AL563" s="1"/>
      <c r="AM563" s="1"/>
      <c r="AN563" s="94"/>
      <c r="AO563" s="1"/>
      <c r="AP563" s="1"/>
      <c r="AQ563" s="1"/>
      <c r="AR563" s="1"/>
      <c r="AS563" s="1"/>
      <c r="AT563" s="1"/>
      <c r="AU563" s="1"/>
    </row>
    <row r="564" ht="10.5" customHeight="1">
      <c r="A564" s="1"/>
      <c r="B564" s="2"/>
      <c r="C564" s="1"/>
      <c r="D564" s="1"/>
      <c r="E564" s="1"/>
      <c r="F564" s="9"/>
      <c r="G564" s="9"/>
      <c r="H564" s="9"/>
      <c r="I564" s="9"/>
      <c r="J564" s="93"/>
      <c r="K564" s="9"/>
      <c r="L564" s="9"/>
      <c r="M564" s="9"/>
      <c r="N564" s="9"/>
      <c r="O564" s="9"/>
      <c r="P564" s="9"/>
      <c r="Q564" s="93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"/>
      <c r="AL564" s="1"/>
      <c r="AM564" s="1"/>
      <c r="AN564" s="94"/>
      <c r="AO564" s="1"/>
      <c r="AP564" s="1"/>
      <c r="AQ564" s="1"/>
      <c r="AR564" s="1"/>
      <c r="AS564" s="1"/>
      <c r="AT564" s="1"/>
      <c r="AU564" s="1"/>
    </row>
    <row r="565" ht="10.5" customHeight="1">
      <c r="A565" s="1"/>
      <c r="B565" s="2"/>
      <c r="C565" s="1"/>
      <c r="D565" s="1"/>
      <c r="E565" s="1"/>
      <c r="F565" s="9"/>
      <c r="G565" s="9"/>
      <c r="H565" s="9"/>
      <c r="I565" s="9"/>
      <c r="J565" s="93"/>
      <c r="K565" s="9"/>
      <c r="L565" s="9"/>
      <c r="M565" s="9"/>
      <c r="N565" s="9"/>
      <c r="O565" s="9"/>
      <c r="P565" s="9"/>
      <c r="Q565" s="93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"/>
      <c r="AL565" s="1"/>
      <c r="AM565" s="1"/>
      <c r="AN565" s="94"/>
      <c r="AO565" s="1"/>
      <c r="AP565" s="1"/>
      <c r="AQ565" s="1"/>
      <c r="AR565" s="1"/>
      <c r="AS565" s="1"/>
      <c r="AT565" s="1"/>
      <c r="AU565" s="1"/>
    </row>
    <row r="566" ht="10.5" customHeight="1">
      <c r="A566" s="1"/>
      <c r="B566" s="2"/>
      <c r="C566" s="1"/>
      <c r="D566" s="1"/>
      <c r="E566" s="1"/>
      <c r="F566" s="9"/>
      <c r="G566" s="9"/>
      <c r="H566" s="9"/>
      <c r="I566" s="9"/>
      <c r="J566" s="93"/>
      <c r="K566" s="9"/>
      <c r="L566" s="9"/>
      <c r="M566" s="9"/>
      <c r="N566" s="9"/>
      <c r="O566" s="9"/>
      <c r="P566" s="9"/>
      <c r="Q566" s="93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"/>
      <c r="AL566" s="1"/>
      <c r="AM566" s="1"/>
      <c r="AN566" s="94"/>
      <c r="AO566" s="1"/>
      <c r="AP566" s="1"/>
      <c r="AQ566" s="1"/>
      <c r="AR566" s="1"/>
      <c r="AS566" s="1"/>
      <c r="AT566" s="1"/>
      <c r="AU566" s="1"/>
    </row>
    <row r="567" ht="10.5" customHeight="1">
      <c r="A567" s="1"/>
      <c r="B567" s="2"/>
      <c r="C567" s="1"/>
      <c r="D567" s="1"/>
      <c r="E567" s="1"/>
      <c r="F567" s="9"/>
      <c r="G567" s="9"/>
      <c r="H567" s="9"/>
      <c r="I567" s="9"/>
      <c r="J567" s="93"/>
      <c r="K567" s="9"/>
      <c r="L567" s="9"/>
      <c r="M567" s="9"/>
      <c r="N567" s="9"/>
      <c r="O567" s="9"/>
      <c r="P567" s="9"/>
      <c r="Q567" s="93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"/>
      <c r="AL567" s="1"/>
      <c r="AM567" s="1"/>
      <c r="AN567" s="94"/>
      <c r="AO567" s="1"/>
      <c r="AP567" s="1"/>
      <c r="AQ567" s="1"/>
      <c r="AR567" s="1"/>
      <c r="AS567" s="1"/>
      <c r="AT567" s="1"/>
      <c r="AU567" s="1"/>
    </row>
    <row r="568" ht="10.5" customHeight="1">
      <c r="A568" s="1"/>
      <c r="B568" s="2"/>
      <c r="C568" s="1"/>
      <c r="D568" s="1"/>
      <c r="E568" s="1"/>
      <c r="F568" s="9"/>
      <c r="G568" s="9"/>
      <c r="H568" s="9"/>
      <c r="I568" s="9"/>
      <c r="J568" s="93"/>
      <c r="K568" s="9"/>
      <c r="L568" s="9"/>
      <c r="M568" s="9"/>
      <c r="N568" s="9"/>
      <c r="O568" s="9"/>
      <c r="P568" s="9"/>
      <c r="Q568" s="93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"/>
      <c r="AL568" s="1"/>
      <c r="AM568" s="1"/>
      <c r="AN568" s="94"/>
      <c r="AO568" s="1"/>
      <c r="AP568" s="1"/>
      <c r="AQ568" s="1"/>
      <c r="AR568" s="1"/>
      <c r="AS568" s="1"/>
      <c r="AT568" s="1"/>
      <c r="AU568" s="1"/>
    </row>
    <row r="569" ht="10.5" customHeight="1">
      <c r="A569" s="1"/>
      <c r="B569" s="2"/>
      <c r="C569" s="1"/>
      <c r="D569" s="1"/>
      <c r="E569" s="1"/>
      <c r="F569" s="9"/>
      <c r="G569" s="9"/>
      <c r="H569" s="9"/>
      <c r="I569" s="9"/>
      <c r="J569" s="93"/>
      <c r="K569" s="9"/>
      <c r="L569" s="9"/>
      <c r="M569" s="9"/>
      <c r="N569" s="9"/>
      <c r="O569" s="9"/>
      <c r="P569" s="9"/>
      <c r="Q569" s="93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"/>
      <c r="AL569" s="1"/>
      <c r="AM569" s="1"/>
      <c r="AN569" s="94"/>
      <c r="AO569" s="1"/>
      <c r="AP569" s="1"/>
      <c r="AQ569" s="1"/>
      <c r="AR569" s="1"/>
      <c r="AS569" s="1"/>
      <c r="AT569" s="1"/>
      <c r="AU569" s="1"/>
    </row>
    <row r="570" ht="10.5" customHeight="1">
      <c r="A570" s="1"/>
      <c r="B570" s="2"/>
      <c r="C570" s="1"/>
      <c r="D570" s="1"/>
      <c r="E570" s="1"/>
      <c r="F570" s="9"/>
      <c r="G570" s="9"/>
      <c r="H570" s="9"/>
      <c r="I570" s="9"/>
      <c r="J570" s="93"/>
      <c r="K570" s="9"/>
      <c r="L570" s="9"/>
      <c r="M570" s="9"/>
      <c r="N570" s="9"/>
      <c r="O570" s="9"/>
      <c r="P570" s="9"/>
      <c r="Q570" s="93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"/>
      <c r="AL570" s="1"/>
      <c r="AM570" s="1"/>
      <c r="AN570" s="94"/>
      <c r="AO570" s="1"/>
      <c r="AP570" s="1"/>
      <c r="AQ570" s="1"/>
      <c r="AR570" s="1"/>
      <c r="AS570" s="1"/>
      <c r="AT570" s="1"/>
      <c r="AU570" s="1"/>
    </row>
    <row r="571" ht="10.5" customHeight="1">
      <c r="A571" s="1"/>
      <c r="B571" s="2"/>
      <c r="C571" s="1"/>
      <c r="D571" s="1"/>
      <c r="E571" s="1"/>
      <c r="F571" s="9"/>
      <c r="G571" s="9"/>
      <c r="H571" s="9"/>
      <c r="I571" s="9"/>
      <c r="J571" s="93"/>
      <c r="K571" s="9"/>
      <c r="L571" s="9"/>
      <c r="M571" s="9"/>
      <c r="N571" s="9"/>
      <c r="O571" s="9"/>
      <c r="P571" s="9"/>
      <c r="Q571" s="93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"/>
      <c r="AL571" s="1"/>
      <c r="AM571" s="1"/>
      <c r="AN571" s="94"/>
      <c r="AO571" s="1"/>
      <c r="AP571" s="1"/>
      <c r="AQ571" s="1"/>
      <c r="AR571" s="1"/>
      <c r="AS571" s="1"/>
      <c r="AT571" s="1"/>
      <c r="AU571" s="1"/>
    </row>
    <row r="572" ht="10.5" customHeight="1">
      <c r="A572" s="1"/>
      <c r="B572" s="2"/>
      <c r="C572" s="1"/>
      <c r="D572" s="1"/>
      <c r="E572" s="1"/>
      <c r="F572" s="9"/>
      <c r="G572" s="9"/>
      <c r="H572" s="9"/>
      <c r="I572" s="9"/>
      <c r="J572" s="93"/>
      <c r="K572" s="9"/>
      <c r="L572" s="9"/>
      <c r="M572" s="9"/>
      <c r="N572" s="9"/>
      <c r="O572" s="9"/>
      <c r="P572" s="9"/>
      <c r="Q572" s="93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"/>
      <c r="AL572" s="1"/>
      <c r="AM572" s="1"/>
      <c r="AN572" s="94"/>
      <c r="AO572" s="1"/>
      <c r="AP572" s="1"/>
      <c r="AQ572" s="1"/>
      <c r="AR572" s="1"/>
      <c r="AS572" s="1"/>
      <c r="AT572" s="1"/>
      <c r="AU572" s="1"/>
    </row>
    <row r="573" ht="10.5" customHeight="1">
      <c r="A573" s="1"/>
      <c r="B573" s="2"/>
      <c r="C573" s="1"/>
      <c r="D573" s="1"/>
      <c r="E573" s="1"/>
      <c r="F573" s="9"/>
      <c r="G573" s="9"/>
      <c r="H573" s="9"/>
      <c r="I573" s="9"/>
      <c r="J573" s="93"/>
      <c r="K573" s="9"/>
      <c r="L573" s="9"/>
      <c r="M573" s="9"/>
      <c r="N573" s="9"/>
      <c r="O573" s="9"/>
      <c r="P573" s="9"/>
      <c r="Q573" s="93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"/>
      <c r="AL573" s="1"/>
      <c r="AM573" s="1"/>
      <c r="AN573" s="94"/>
      <c r="AO573" s="1"/>
      <c r="AP573" s="1"/>
      <c r="AQ573" s="1"/>
      <c r="AR573" s="1"/>
      <c r="AS573" s="1"/>
      <c r="AT573" s="1"/>
      <c r="AU573" s="1"/>
    </row>
    <row r="574" ht="10.5" customHeight="1">
      <c r="A574" s="1"/>
      <c r="B574" s="2"/>
      <c r="C574" s="1"/>
      <c r="D574" s="1"/>
      <c r="E574" s="1"/>
      <c r="F574" s="9"/>
      <c r="G574" s="9"/>
      <c r="H574" s="9"/>
      <c r="I574" s="9"/>
      <c r="J574" s="93"/>
      <c r="K574" s="9"/>
      <c r="L574" s="9"/>
      <c r="M574" s="9"/>
      <c r="N574" s="9"/>
      <c r="O574" s="9"/>
      <c r="P574" s="9"/>
      <c r="Q574" s="93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"/>
      <c r="AL574" s="1"/>
      <c r="AM574" s="1"/>
      <c r="AN574" s="94"/>
      <c r="AO574" s="1"/>
      <c r="AP574" s="1"/>
      <c r="AQ574" s="1"/>
      <c r="AR574" s="1"/>
      <c r="AS574" s="1"/>
      <c r="AT574" s="1"/>
      <c r="AU574" s="1"/>
    </row>
    <row r="575" ht="10.5" customHeight="1">
      <c r="A575" s="1"/>
      <c r="B575" s="2"/>
      <c r="C575" s="1"/>
      <c r="D575" s="1"/>
      <c r="E575" s="1"/>
      <c r="F575" s="9"/>
      <c r="G575" s="9"/>
      <c r="H575" s="9"/>
      <c r="I575" s="9"/>
      <c r="J575" s="93"/>
      <c r="K575" s="9"/>
      <c r="L575" s="9"/>
      <c r="M575" s="9"/>
      <c r="N575" s="9"/>
      <c r="O575" s="9"/>
      <c r="P575" s="9"/>
      <c r="Q575" s="93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"/>
      <c r="AL575" s="1"/>
      <c r="AM575" s="1"/>
      <c r="AN575" s="94"/>
      <c r="AO575" s="1"/>
      <c r="AP575" s="1"/>
      <c r="AQ575" s="1"/>
      <c r="AR575" s="1"/>
      <c r="AS575" s="1"/>
      <c r="AT575" s="1"/>
      <c r="AU575" s="1"/>
    </row>
    <row r="576" ht="10.5" customHeight="1">
      <c r="A576" s="1"/>
      <c r="B576" s="2"/>
      <c r="C576" s="1"/>
      <c r="D576" s="1"/>
      <c r="E576" s="1"/>
      <c r="F576" s="9"/>
      <c r="G576" s="9"/>
      <c r="H576" s="9"/>
      <c r="I576" s="9"/>
      <c r="J576" s="93"/>
      <c r="K576" s="9"/>
      <c r="L576" s="9"/>
      <c r="M576" s="9"/>
      <c r="N576" s="9"/>
      <c r="O576" s="9"/>
      <c r="P576" s="9"/>
      <c r="Q576" s="93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"/>
      <c r="AL576" s="1"/>
      <c r="AM576" s="1"/>
      <c r="AN576" s="94"/>
      <c r="AO576" s="1"/>
      <c r="AP576" s="1"/>
      <c r="AQ576" s="1"/>
      <c r="AR576" s="1"/>
      <c r="AS576" s="1"/>
      <c r="AT576" s="1"/>
      <c r="AU576" s="1"/>
    </row>
    <row r="577" ht="10.5" customHeight="1">
      <c r="A577" s="1"/>
      <c r="B577" s="2"/>
      <c r="C577" s="1"/>
      <c r="D577" s="1"/>
      <c r="E577" s="1"/>
      <c r="F577" s="9"/>
      <c r="G577" s="9"/>
      <c r="H577" s="9"/>
      <c r="I577" s="9"/>
      <c r="J577" s="93"/>
      <c r="K577" s="9"/>
      <c r="L577" s="9"/>
      <c r="M577" s="9"/>
      <c r="N577" s="9"/>
      <c r="O577" s="9"/>
      <c r="P577" s="9"/>
      <c r="Q577" s="93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"/>
      <c r="AL577" s="1"/>
      <c r="AM577" s="1"/>
      <c r="AN577" s="94"/>
      <c r="AO577" s="1"/>
      <c r="AP577" s="1"/>
      <c r="AQ577" s="1"/>
      <c r="AR577" s="1"/>
      <c r="AS577" s="1"/>
      <c r="AT577" s="1"/>
      <c r="AU577" s="1"/>
    </row>
    <row r="578" ht="10.5" customHeight="1">
      <c r="A578" s="1"/>
      <c r="B578" s="2"/>
      <c r="C578" s="1"/>
      <c r="D578" s="1"/>
      <c r="E578" s="1"/>
      <c r="F578" s="9"/>
      <c r="G578" s="9"/>
      <c r="H578" s="9"/>
      <c r="I578" s="9"/>
      <c r="J578" s="93"/>
      <c r="K578" s="9"/>
      <c r="L578" s="9"/>
      <c r="M578" s="9"/>
      <c r="N578" s="9"/>
      <c r="O578" s="9"/>
      <c r="P578" s="9"/>
      <c r="Q578" s="93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"/>
      <c r="AL578" s="1"/>
      <c r="AM578" s="1"/>
      <c r="AN578" s="94"/>
      <c r="AO578" s="1"/>
      <c r="AP578" s="1"/>
      <c r="AQ578" s="1"/>
      <c r="AR578" s="1"/>
      <c r="AS578" s="1"/>
      <c r="AT578" s="1"/>
      <c r="AU578" s="1"/>
    </row>
    <row r="579" ht="10.5" customHeight="1">
      <c r="A579" s="1"/>
      <c r="B579" s="2"/>
      <c r="C579" s="1"/>
      <c r="D579" s="1"/>
      <c r="E579" s="1"/>
      <c r="F579" s="9"/>
      <c r="G579" s="9"/>
      <c r="H579" s="9"/>
      <c r="I579" s="9"/>
      <c r="J579" s="93"/>
      <c r="K579" s="9"/>
      <c r="L579" s="9"/>
      <c r="M579" s="9"/>
      <c r="N579" s="9"/>
      <c r="O579" s="9"/>
      <c r="P579" s="9"/>
      <c r="Q579" s="93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"/>
      <c r="AL579" s="1"/>
      <c r="AM579" s="1"/>
      <c r="AN579" s="94"/>
      <c r="AO579" s="1"/>
      <c r="AP579" s="1"/>
      <c r="AQ579" s="1"/>
      <c r="AR579" s="1"/>
      <c r="AS579" s="1"/>
      <c r="AT579" s="1"/>
      <c r="AU579" s="1"/>
    </row>
    <row r="580" ht="10.5" customHeight="1">
      <c r="A580" s="1"/>
      <c r="B580" s="2"/>
      <c r="C580" s="1"/>
      <c r="D580" s="1"/>
      <c r="E580" s="1"/>
      <c r="F580" s="9"/>
      <c r="G580" s="9"/>
      <c r="H580" s="9"/>
      <c r="I580" s="9"/>
      <c r="J580" s="93"/>
      <c r="K580" s="9"/>
      <c r="L580" s="9"/>
      <c r="M580" s="9"/>
      <c r="N580" s="9"/>
      <c r="O580" s="9"/>
      <c r="P580" s="9"/>
      <c r="Q580" s="93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"/>
      <c r="AL580" s="1"/>
      <c r="AM580" s="1"/>
      <c r="AN580" s="94"/>
      <c r="AO580" s="1"/>
      <c r="AP580" s="1"/>
      <c r="AQ580" s="1"/>
      <c r="AR580" s="1"/>
      <c r="AS580" s="1"/>
      <c r="AT580" s="1"/>
      <c r="AU580" s="1"/>
    </row>
    <row r="581" ht="10.5" customHeight="1">
      <c r="A581" s="1"/>
      <c r="B581" s="2"/>
      <c r="C581" s="1"/>
      <c r="D581" s="1"/>
      <c r="E581" s="1"/>
      <c r="F581" s="9"/>
      <c r="G581" s="9"/>
      <c r="H581" s="9"/>
      <c r="I581" s="9"/>
      <c r="J581" s="93"/>
      <c r="K581" s="9"/>
      <c r="L581" s="9"/>
      <c r="M581" s="9"/>
      <c r="N581" s="9"/>
      <c r="O581" s="9"/>
      <c r="P581" s="9"/>
      <c r="Q581" s="93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"/>
      <c r="AL581" s="1"/>
      <c r="AM581" s="1"/>
      <c r="AN581" s="94"/>
      <c r="AO581" s="1"/>
      <c r="AP581" s="1"/>
      <c r="AQ581" s="1"/>
      <c r="AR581" s="1"/>
      <c r="AS581" s="1"/>
      <c r="AT581" s="1"/>
      <c r="AU581" s="1"/>
    </row>
    <row r="582" ht="10.5" customHeight="1">
      <c r="A582" s="1"/>
      <c r="B582" s="2"/>
      <c r="C582" s="1"/>
      <c r="D582" s="1"/>
      <c r="E582" s="1"/>
      <c r="F582" s="9"/>
      <c r="G582" s="9"/>
      <c r="H582" s="9"/>
      <c r="I582" s="9"/>
      <c r="J582" s="93"/>
      <c r="K582" s="9"/>
      <c r="L582" s="9"/>
      <c r="M582" s="9"/>
      <c r="N582" s="9"/>
      <c r="O582" s="9"/>
      <c r="P582" s="9"/>
      <c r="Q582" s="93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"/>
      <c r="AL582" s="1"/>
      <c r="AM582" s="1"/>
      <c r="AN582" s="94"/>
      <c r="AO582" s="1"/>
      <c r="AP582" s="1"/>
      <c r="AQ582" s="1"/>
      <c r="AR582" s="1"/>
      <c r="AS582" s="1"/>
      <c r="AT582" s="1"/>
      <c r="AU582" s="1"/>
    </row>
    <row r="583" ht="10.5" customHeight="1">
      <c r="A583" s="1"/>
      <c r="B583" s="2"/>
      <c r="C583" s="1"/>
      <c r="D583" s="1"/>
      <c r="E583" s="1"/>
      <c r="F583" s="9"/>
      <c r="G583" s="9"/>
      <c r="H583" s="9"/>
      <c r="I583" s="9"/>
      <c r="J583" s="93"/>
      <c r="K583" s="9"/>
      <c r="L583" s="9"/>
      <c r="M583" s="9"/>
      <c r="N583" s="9"/>
      <c r="O583" s="9"/>
      <c r="P583" s="9"/>
      <c r="Q583" s="93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"/>
      <c r="AL583" s="1"/>
      <c r="AM583" s="1"/>
      <c r="AN583" s="94"/>
      <c r="AO583" s="1"/>
      <c r="AP583" s="1"/>
      <c r="AQ583" s="1"/>
      <c r="AR583" s="1"/>
      <c r="AS583" s="1"/>
      <c r="AT583" s="1"/>
      <c r="AU583" s="1"/>
    </row>
    <row r="584" ht="10.5" customHeight="1">
      <c r="A584" s="1"/>
      <c r="B584" s="2"/>
      <c r="C584" s="1"/>
      <c r="D584" s="1"/>
      <c r="E584" s="1"/>
      <c r="F584" s="9"/>
      <c r="G584" s="9"/>
      <c r="H584" s="9"/>
      <c r="I584" s="9"/>
      <c r="J584" s="93"/>
      <c r="K584" s="9"/>
      <c r="L584" s="9"/>
      <c r="M584" s="9"/>
      <c r="N584" s="9"/>
      <c r="O584" s="9"/>
      <c r="P584" s="9"/>
      <c r="Q584" s="93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"/>
      <c r="AL584" s="1"/>
      <c r="AM584" s="1"/>
      <c r="AN584" s="94"/>
      <c r="AO584" s="1"/>
      <c r="AP584" s="1"/>
      <c r="AQ584" s="1"/>
      <c r="AR584" s="1"/>
      <c r="AS584" s="1"/>
      <c r="AT584" s="1"/>
      <c r="AU584" s="1"/>
    </row>
    <row r="585" ht="10.5" customHeight="1">
      <c r="A585" s="1"/>
      <c r="B585" s="2"/>
      <c r="C585" s="1"/>
      <c r="D585" s="1"/>
      <c r="E585" s="1"/>
      <c r="F585" s="9"/>
      <c r="G585" s="9"/>
      <c r="H585" s="9"/>
      <c r="I585" s="9"/>
      <c r="J585" s="93"/>
      <c r="K585" s="9"/>
      <c r="L585" s="9"/>
      <c r="M585" s="9"/>
      <c r="N585" s="9"/>
      <c r="O585" s="9"/>
      <c r="P585" s="9"/>
      <c r="Q585" s="93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"/>
      <c r="AL585" s="1"/>
      <c r="AM585" s="1"/>
      <c r="AN585" s="94"/>
      <c r="AO585" s="1"/>
      <c r="AP585" s="1"/>
      <c r="AQ585" s="1"/>
      <c r="AR585" s="1"/>
      <c r="AS585" s="1"/>
      <c r="AT585" s="1"/>
      <c r="AU585" s="1"/>
    </row>
    <row r="586" ht="10.5" customHeight="1">
      <c r="A586" s="1"/>
      <c r="B586" s="2"/>
      <c r="C586" s="1"/>
      <c r="D586" s="1"/>
      <c r="E586" s="1"/>
      <c r="F586" s="9"/>
      <c r="G586" s="9"/>
      <c r="H586" s="9"/>
      <c r="I586" s="9"/>
      <c r="J586" s="93"/>
      <c r="K586" s="9"/>
      <c r="L586" s="9"/>
      <c r="M586" s="9"/>
      <c r="N586" s="9"/>
      <c r="O586" s="9"/>
      <c r="P586" s="9"/>
      <c r="Q586" s="93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"/>
      <c r="AL586" s="1"/>
      <c r="AM586" s="1"/>
      <c r="AN586" s="94"/>
      <c r="AO586" s="1"/>
      <c r="AP586" s="1"/>
      <c r="AQ586" s="1"/>
      <c r="AR586" s="1"/>
      <c r="AS586" s="1"/>
      <c r="AT586" s="1"/>
      <c r="AU586" s="1"/>
    </row>
    <row r="587" ht="10.5" customHeight="1">
      <c r="A587" s="1"/>
      <c r="B587" s="2"/>
      <c r="C587" s="1"/>
      <c r="D587" s="1"/>
      <c r="E587" s="1"/>
      <c r="F587" s="9"/>
      <c r="G587" s="9"/>
      <c r="H587" s="9"/>
      <c r="I587" s="9"/>
      <c r="J587" s="93"/>
      <c r="K587" s="9"/>
      <c r="L587" s="9"/>
      <c r="M587" s="9"/>
      <c r="N587" s="9"/>
      <c r="O587" s="9"/>
      <c r="P587" s="9"/>
      <c r="Q587" s="93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"/>
      <c r="AL587" s="1"/>
      <c r="AM587" s="1"/>
      <c r="AN587" s="94"/>
      <c r="AO587" s="1"/>
      <c r="AP587" s="1"/>
      <c r="AQ587" s="1"/>
      <c r="AR587" s="1"/>
      <c r="AS587" s="1"/>
      <c r="AT587" s="1"/>
      <c r="AU587" s="1"/>
    </row>
    <row r="588" ht="10.5" customHeight="1">
      <c r="A588" s="1"/>
      <c r="B588" s="2"/>
      <c r="C588" s="1"/>
      <c r="D588" s="1"/>
      <c r="E588" s="1"/>
      <c r="F588" s="9"/>
      <c r="G588" s="9"/>
      <c r="H588" s="9"/>
      <c r="I588" s="9"/>
      <c r="J588" s="93"/>
      <c r="K588" s="9"/>
      <c r="L588" s="9"/>
      <c r="M588" s="9"/>
      <c r="N588" s="9"/>
      <c r="O588" s="9"/>
      <c r="P588" s="9"/>
      <c r="Q588" s="93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1"/>
      <c r="AL588" s="1"/>
      <c r="AM588" s="1"/>
      <c r="AN588" s="94"/>
      <c r="AO588" s="1"/>
      <c r="AP588" s="1"/>
      <c r="AQ588" s="1"/>
      <c r="AR588" s="1"/>
      <c r="AS588" s="1"/>
      <c r="AT588" s="1"/>
      <c r="AU588" s="1"/>
    </row>
    <row r="589" ht="10.5" customHeight="1">
      <c r="A589" s="1"/>
      <c r="B589" s="2"/>
      <c r="C589" s="1"/>
      <c r="D589" s="1"/>
      <c r="E589" s="1"/>
      <c r="F589" s="9"/>
      <c r="G589" s="9"/>
      <c r="H589" s="9"/>
      <c r="I589" s="9"/>
      <c r="J589" s="93"/>
      <c r="K589" s="9"/>
      <c r="L589" s="9"/>
      <c r="M589" s="9"/>
      <c r="N589" s="9"/>
      <c r="O589" s="9"/>
      <c r="P589" s="9"/>
      <c r="Q589" s="93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"/>
      <c r="AL589" s="1"/>
      <c r="AM589" s="1"/>
      <c r="AN589" s="94"/>
      <c r="AO589" s="1"/>
      <c r="AP589" s="1"/>
      <c r="AQ589" s="1"/>
      <c r="AR589" s="1"/>
      <c r="AS589" s="1"/>
      <c r="AT589" s="1"/>
      <c r="AU589" s="1"/>
    </row>
    <row r="590" ht="10.5" customHeight="1">
      <c r="A590" s="1"/>
      <c r="B590" s="2"/>
      <c r="C590" s="1"/>
      <c r="D590" s="1"/>
      <c r="E590" s="1"/>
      <c r="F590" s="9"/>
      <c r="G590" s="9"/>
      <c r="H590" s="9"/>
      <c r="I590" s="9"/>
      <c r="J590" s="93"/>
      <c r="K590" s="9"/>
      <c r="L590" s="9"/>
      <c r="M590" s="9"/>
      <c r="N590" s="9"/>
      <c r="O590" s="9"/>
      <c r="P590" s="9"/>
      <c r="Q590" s="93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"/>
      <c r="AL590" s="1"/>
      <c r="AM590" s="1"/>
      <c r="AN590" s="94"/>
      <c r="AO590" s="1"/>
      <c r="AP590" s="1"/>
      <c r="AQ590" s="1"/>
      <c r="AR590" s="1"/>
      <c r="AS590" s="1"/>
      <c r="AT590" s="1"/>
      <c r="AU590" s="1"/>
    </row>
    <row r="591" ht="10.5" customHeight="1">
      <c r="A591" s="1"/>
      <c r="B591" s="2"/>
      <c r="C591" s="1"/>
      <c r="D591" s="1"/>
      <c r="E591" s="1"/>
      <c r="F591" s="9"/>
      <c r="G591" s="9"/>
      <c r="H591" s="9"/>
      <c r="I591" s="9"/>
      <c r="J591" s="93"/>
      <c r="K591" s="9"/>
      <c r="L591" s="9"/>
      <c r="M591" s="9"/>
      <c r="N591" s="9"/>
      <c r="O591" s="9"/>
      <c r="P591" s="9"/>
      <c r="Q591" s="93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"/>
      <c r="AL591" s="1"/>
      <c r="AM591" s="1"/>
      <c r="AN591" s="94"/>
      <c r="AO591" s="1"/>
      <c r="AP591" s="1"/>
      <c r="AQ591" s="1"/>
      <c r="AR591" s="1"/>
      <c r="AS591" s="1"/>
      <c r="AT591" s="1"/>
      <c r="AU591" s="1"/>
    </row>
    <row r="592" ht="10.5" customHeight="1">
      <c r="A592" s="1"/>
      <c r="B592" s="2"/>
      <c r="C592" s="1"/>
      <c r="D592" s="1"/>
      <c r="E592" s="1"/>
      <c r="F592" s="9"/>
      <c r="G592" s="9"/>
      <c r="H592" s="9"/>
      <c r="I592" s="9"/>
      <c r="J592" s="93"/>
      <c r="K592" s="9"/>
      <c r="L592" s="9"/>
      <c r="M592" s="9"/>
      <c r="N592" s="9"/>
      <c r="O592" s="9"/>
      <c r="P592" s="9"/>
      <c r="Q592" s="93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"/>
      <c r="AL592" s="1"/>
      <c r="AM592" s="1"/>
      <c r="AN592" s="94"/>
      <c r="AO592" s="1"/>
      <c r="AP592" s="1"/>
      <c r="AQ592" s="1"/>
      <c r="AR592" s="1"/>
      <c r="AS592" s="1"/>
      <c r="AT592" s="1"/>
      <c r="AU592" s="1"/>
    </row>
    <row r="593" ht="10.5" customHeight="1">
      <c r="A593" s="1"/>
      <c r="B593" s="2"/>
      <c r="C593" s="1"/>
      <c r="D593" s="1"/>
      <c r="E593" s="1"/>
      <c r="F593" s="9"/>
      <c r="G593" s="9"/>
      <c r="H593" s="9"/>
      <c r="I593" s="9"/>
      <c r="J593" s="93"/>
      <c r="K593" s="9"/>
      <c r="L593" s="9"/>
      <c r="M593" s="9"/>
      <c r="N593" s="9"/>
      <c r="O593" s="9"/>
      <c r="P593" s="9"/>
      <c r="Q593" s="93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1"/>
      <c r="AL593" s="1"/>
      <c r="AM593" s="1"/>
      <c r="AN593" s="94"/>
      <c r="AO593" s="1"/>
      <c r="AP593" s="1"/>
      <c r="AQ593" s="1"/>
      <c r="AR593" s="1"/>
      <c r="AS593" s="1"/>
      <c r="AT593" s="1"/>
      <c r="AU593" s="1"/>
    </row>
    <row r="594" ht="10.5" customHeight="1">
      <c r="A594" s="1"/>
      <c r="B594" s="2"/>
      <c r="C594" s="1"/>
      <c r="D594" s="1"/>
      <c r="E594" s="1"/>
      <c r="F594" s="9"/>
      <c r="G594" s="9"/>
      <c r="H594" s="9"/>
      <c r="I594" s="9"/>
      <c r="J594" s="93"/>
      <c r="K594" s="9"/>
      <c r="L594" s="9"/>
      <c r="M594" s="9"/>
      <c r="N594" s="9"/>
      <c r="O594" s="9"/>
      <c r="P594" s="9"/>
      <c r="Q594" s="93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1"/>
      <c r="AL594" s="1"/>
      <c r="AM594" s="1"/>
      <c r="AN594" s="94"/>
      <c r="AO594" s="1"/>
      <c r="AP594" s="1"/>
      <c r="AQ594" s="1"/>
      <c r="AR594" s="1"/>
      <c r="AS594" s="1"/>
      <c r="AT594" s="1"/>
      <c r="AU594" s="1"/>
    </row>
    <row r="595" ht="10.5" customHeight="1">
      <c r="A595" s="1"/>
      <c r="B595" s="2"/>
      <c r="C595" s="1"/>
      <c r="D595" s="1"/>
      <c r="E595" s="1"/>
      <c r="F595" s="9"/>
      <c r="G595" s="9"/>
      <c r="H595" s="9"/>
      <c r="I595" s="9"/>
      <c r="J595" s="93"/>
      <c r="K595" s="9"/>
      <c r="L595" s="9"/>
      <c r="M595" s="9"/>
      <c r="N595" s="9"/>
      <c r="O595" s="9"/>
      <c r="P595" s="9"/>
      <c r="Q595" s="93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1"/>
      <c r="AL595" s="1"/>
      <c r="AM595" s="1"/>
      <c r="AN595" s="94"/>
      <c r="AO595" s="1"/>
      <c r="AP595" s="1"/>
      <c r="AQ595" s="1"/>
      <c r="AR595" s="1"/>
      <c r="AS595" s="1"/>
      <c r="AT595" s="1"/>
      <c r="AU595" s="1"/>
    </row>
    <row r="596" ht="10.5" customHeight="1">
      <c r="A596" s="1"/>
      <c r="B596" s="2"/>
      <c r="C596" s="1"/>
      <c r="D596" s="1"/>
      <c r="E596" s="1"/>
      <c r="F596" s="9"/>
      <c r="G596" s="9"/>
      <c r="H596" s="9"/>
      <c r="I596" s="9"/>
      <c r="J596" s="93"/>
      <c r="K596" s="9"/>
      <c r="L596" s="9"/>
      <c r="M596" s="9"/>
      <c r="N596" s="9"/>
      <c r="O596" s="9"/>
      <c r="P596" s="9"/>
      <c r="Q596" s="93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1"/>
      <c r="AL596" s="1"/>
      <c r="AM596" s="1"/>
      <c r="AN596" s="94"/>
      <c r="AO596" s="1"/>
      <c r="AP596" s="1"/>
      <c r="AQ596" s="1"/>
      <c r="AR596" s="1"/>
      <c r="AS596" s="1"/>
      <c r="AT596" s="1"/>
      <c r="AU596" s="1"/>
    </row>
    <row r="597" ht="10.5" customHeight="1">
      <c r="A597" s="1"/>
      <c r="B597" s="2"/>
      <c r="C597" s="1"/>
      <c r="D597" s="1"/>
      <c r="E597" s="1"/>
      <c r="F597" s="9"/>
      <c r="G597" s="9"/>
      <c r="H597" s="9"/>
      <c r="I597" s="9"/>
      <c r="J597" s="93"/>
      <c r="K597" s="9"/>
      <c r="L597" s="9"/>
      <c r="M597" s="9"/>
      <c r="N597" s="9"/>
      <c r="O597" s="9"/>
      <c r="P597" s="9"/>
      <c r="Q597" s="93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1"/>
      <c r="AL597" s="1"/>
      <c r="AM597" s="1"/>
      <c r="AN597" s="94"/>
      <c r="AO597" s="1"/>
      <c r="AP597" s="1"/>
      <c r="AQ597" s="1"/>
      <c r="AR597" s="1"/>
      <c r="AS597" s="1"/>
      <c r="AT597" s="1"/>
      <c r="AU597" s="1"/>
    </row>
    <row r="598" ht="10.5" customHeight="1">
      <c r="A598" s="1"/>
      <c r="B598" s="2"/>
      <c r="C598" s="1"/>
      <c r="D598" s="1"/>
      <c r="E598" s="1"/>
      <c r="F598" s="9"/>
      <c r="G598" s="9"/>
      <c r="H598" s="9"/>
      <c r="I598" s="9"/>
      <c r="J598" s="93"/>
      <c r="K598" s="9"/>
      <c r="L598" s="9"/>
      <c r="M598" s="9"/>
      <c r="N598" s="9"/>
      <c r="O598" s="9"/>
      <c r="P598" s="9"/>
      <c r="Q598" s="93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1"/>
      <c r="AL598" s="1"/>
      <c r="AM598" s="1"/>
      <c r="AN598" s="94"/>
      <c r="AO598" s="1"/>
      <c r="AP598" s="1"/>
      <c r="AQ598" s="1"/>
      <c r="AR598" s="1"/>
      <c r="AS598" s="1"/>
      <c r="AT598" s="1"/>
      <c r="AU598" s="1"/>
    </row>
    <row r="599" ht="10.5" customHeight="1">
      <c r="A599" s="1"/>
      <c r="B599" s="2"/>
      <c r="C599" s="1"/>
      <c r="D599" s="1"/>
      <c r="E599" s="1"/>
      <c r="F599" s="9"/>
      <c r="G599" s="9"/>
      <c r="H599" s="9"/>
      <c r="I599" s="9"/>
      <c r="J599" s="93"/>
      <c r="K599" s="9"/>
      <c r="L599" s="9"/>
      <c r="M599" s="9"/>
      <c r="N599" s="9"/>
      <c r="O599" s="9"/>
      <c r="P599" s="9"/>
      <c r="Q599" s="93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1"/>
      <c r="AL599" s="1"/>
      <c r="AM599" s="1"/>
      <c r="AN599" s="94"/>
      <c r="AO599" s="1"/>
      <c r="AP599" s="1"/>
      <c r="AQ599" s="1"/>
      <c r="AR599" s="1"/>
      <c r="AS599" s="1"/>
      <c r="AT599" s="1"/>
      <c r="AU599" s="1"/>
    </row>
    <row r="600" ht="10.5" customHeight="1">
      <c r="A600" s="1"/>
      <c r="B600" s="2"/>
      <c r="C600" s="1"/>
      <c r="D600" s="1"/>
      <c r="E600" s="1"/>
      <c r="F600" s="9"/>
      <c r="G600" s="9"/>
      <c r="H600" s="9"/>
      <c r="I600" s="9"/>
      <c r="J600" s="93"/>
      <c r="K600" s="9"/>
      <c r="L600" s="9"/>
      <c r="M600" s="9"/>
      <c r="N600" s="9"/>
      <c r="O600" s="9"/>
      <c r="P600" s="9"/>
      <c r="Q600" s="93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1"/>
      <c r="AL600" s="1"/>
      <c r="AM600" s="1"/>
      <c r="AN600" s="94"/>
      <c r="AO600" s="1"/>
      <c r="AP600" s="1"/>
      <c r="AQ600" s="1"/>
      <c r="AR600" s="1"/>
      <c r="AS600" s="1"/>
      <c r="AT600" s="1"/>
      <c r="AU600" s="1"/>
    </row>
    <row r="601" ht="10.5" customHeight="1">
      <c r="A601" s="1"/>
      <c r="B601" s="2"/>
      <c r="C601" s="1"/>
      <c r="D601" s="1"/>
      <c r="E601" s="1"/>
      <c r="F601" s="9"/>
      <c r="G601" s="9"/>
      <c r="H601" s="9"/>
      <c r="I601" s="9"/>
      <c r="J601" s="93"/>
      <c r="K601" s="9"/>
      <c r="L601" s="9"/>
      <c r="M601" s="9"/>
      <c r="N601" s="9"/>
      <c r="O601" s="9"/>
      <c r="P601" s="9"/>
      <c r="Q601" s="93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1"/>
      <c r="AL601" s="1"/>
      <c r="AM601" s="1"/>
      <c r="AN601" s="94"/>
      <c r="AO601" s="1"/>
      <c r="AP601" s="1"/>
      <c r="AQ601" s="1"/>
      <c r="AR601" s="1"/>
      <c r="AS601" s="1"/>
      <c r="AT601" s="1"/>
      <c r="AU601" s="1"/>
    </row>
    <row r="602" ht="10.5" customHeight="1">
      <c r="A602" s="1"/>
      <c r="B602" s="2"/>
      <c r="C602" s="1"/>
      <c r="D602" s="1"/>
      <c r="E602" s="1"/>
      <c r="F602" s="9"/>
      <c r="G602" s="9"/>
      <c r="H602" s="9"/>
      <c r="I602" s="9"/>
      <c r="J602" s="93"/>
      <c r="K602" s="9"/>
      <c r="L602" s="9"/>
      <c r="M602" s="9"/>
      <c r="N602" s="9"/>
      <c r="O602" s="9"/>
      <c r="P602" s="9"/>
      <c r="Q602" s="93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1"/>
      <c r="AL602" s="1"/>
      <c r="AM602" s="1"/>
      <c r="AN602" s="94"/>
      <c r="AO602" s="1"/>
      <c r="AP602" s="1"/>
      <c r="AQ602" s="1"/>
      <c r="AR602" s="1"/>
      <c r="AS602" s="1"/>
      <c r="AT602" s="1"/>
      <c r="AU602" s="1"/>
    </row>
    <row r="603" ht="10.5" customHeight="1">
      <c r="A603" s="1"/>
      <c r="B603" s="2"/>
      <c r="C603" s="1"/>
      <c r="D603" s="1"/>
      <c r="E603" s="1"/>
      <c r="F603" s="9"/>
      <c r="G603" s="9"/>
      <c r="H603" s="9"/>
      <c r="I603" s="9"/>
      <c r="J603" s="93"/>
      <c r="K603" s="9"/>
      <c r="L603" s="9"/>
      <c r="M603" s="9"/>
      <c r="N603" s="9"/>
      <c r="O603" s="9"/>
      <c r="P603" s="9"/>
      <c r="Q603" s="93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1"/>
      <c r="AL603" s="1"/>
      <c r="AM603" s="1"/>
      <c r="AN603" s="94"/>
      <c r="AO603" s="1"/>
      <c r="AP603" s="1"/>
      <c r="AQ603" s="1"/>
      <c r="AR603" s="1"/>
      <c r="AS603" s="1"/>
      <c r="AT603" s="1"/>
      <c r="AU603" s="1"/>
    </row>
    <row r="604" ht="10.5" customHeight="1">
      <c r="A604" s="1"/>
      <c r="B604" s="2"/>
      <c r="C604" s="1"/>
      <c r="D604" s="1"/>
      <c r="E604" s="1"/>
      <c r="F604" s="9"/>
      <c r="G604" s="9"/>
      <c r="H604" s="9"/>
      <c r="I604" s="9"/>
      <c r="J604" s="93"/>
      <c r="K604" s="9"/>
      <c r="L604" s="9"/>
      <c r="M604" s="9"/>
      <c r="N604" s="9"/>
      <c r="O604" s="9"/>
      <c r="P604" s="9"/>
      <c r="Q604" s="93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1"/>
      <c r="AL604" s="1"/>
      <c r="AM604" s="1"/>
      <c r="AN604" s="94"/>
      <c r="AO604" s="1"/>
      <c r="AP604" s="1"/>
      <c r="AQ604" s="1"/>
      <c r="AR604" s="1"/>
      <c r="AS604" s="1"/>
      <c r="AT604" s="1"/>
      <c r="AU604" s="1"/>
    </row>
    <row r="605" ht="10.5" customHeight="1">
      <c r="A605" s="1"/>
      <c r="B605" s="2"/>
      <c r="C605" s="1"/>
      <c r="D605" s="1"/>
      <c r="E605" s="1"/>
      <c r="F605" s="9"/>
      <c r="G605" s="9"/>
      <c r="H605" s="9"/>
      <c r="I605" s="9"/>
      <c r="J605" s="93"/>
      <c r="K605" s="9"/>
      <c r="L605" s="9"/>
      <c r="M605" s="9"/>
      <c r="N605" s="9"/>
      <c r="O605" s="9"/>
      <c r="P605" s="9"/>
      <c r="Q605" s="93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1"/>
      <c r="AL605" s="1"/>
      <c r="AM605" s="1"/>
      <c r="AN605" s="94"/>
      <c r="AO605" s="1"/>
      <c r="AP605" s="1"/>
      <c r="AQ605" s="1"/>
      <c r="AR605" s="1"/>
      <c r="AS605" s="1"/>
      <c r="AT605" s="1"/>
      <c r="AU605" s="1"/>
    </row>
    <row r="606" ht="10.5" customHeight="1">
      <c r="A606" s="1"/>
      <c r="B606" s="2"/>
      <c r="C606" s="1"/>
      <c r="D606" s="1"/>
      <c r="E606" s="1"/>
      <c r="F606" s="9"/>
      <c r="G606" s="9"/>
      <c r="H606" s="9"/>
      <c r="I606" s="9"/>
      <c r="J606" s="93"/>
      <c r="K606" s="9"/>
      <c r="L606" s="9"/>
      <c r="M606" s="9"/>
      <c r="N606" s="9"/>
      <c r="O606" s="9"/>
      <c r="P606" s="9"/>
      <c r="Q606" s="93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1"/>
      <c r="AL606" s="1"/>
      <c r="AM606" s="1"/>
      <c r="AN606" s="94"/>
      <c r="AO606" s="1"/>
      <c r="AP606" s="1"/>
      <c r="AQ606" s="1"/>
      <c r="AR606" s="1"/>
      <c r="AS606" s="1"/>
      <c r="AT606" s="1"/>
      <c r="AU606" s="1"/>
    </row>
    <row r="607" ht="10.5" customHeight="1">
      <c r="A607" s="1"/>
      <c r="B607" s="2"/>
      <c r="C607" s="1"/>
      <c r="D607" s="1"/>
      <c r="E607" s="1"/>
      <c r="F607" s="9"/>
      <c r="G607" s="9"/>
      <c r="H607" s="9"/>
      <c r="I607" s="9"/>
      <c r="J607" s="93"/>
      <c r="K607" s="9"/>
      <c r="L607" s="9"/>
      <c r="M607" s="9"/>
      <c r="N607" s="9"/>
      <c r="O607" s="9"/>
      <c r="P607" s="9"/>
      <c r="Q607" s="93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1"/>
      <c r="AL607" s="1"/>
      <c r="AM607" s="1"/>
      <c r="AN607" s="94"/>
      <c r="AO607" s="1"/>
      <c r="AP607" s="1"/>
      <c r="AQ607" s="1"/>
      <c r="AR607" s="1"/>
      <c r="AS607" s="1"/>
      <c r="AT607" s="1"/>
      <c r="AU607" s="1"/>
    </row>
    <row r="608" ht="10.5" customHeight="1">
      <c r="A608" s="1"/>
      <c r="B608" s="2"/>
      <c r="C608" s="1"/>
      <c r="D608" s="1"/>
      <c r="E608" s="1"/>
      <c r="F608" s="9"/>
      <c r="G608" s="9"/>
      <c r="H608" s="9"/>
      <c r="I608" s="9"/>
      <c r="J608" s="93"/>
      <c r="K608" s="9"/>
      <c r="L608" s="9"/>
      <c r="M608" s="9"/>
      <c r="N608" s="9"/>
      <c r="O608" s="9"/>
      <c r="P608" s="9"/>
      <c r="Q608" s="93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1"/>
      <c r="AL608" s="1"/>
      <c r="AM608" s="1"/>
      <c r="AN608" s="94"/>
      <c r="AO608" s="1"/>
      <c r="AP608" s="1"/>
      <c r="AQ608" s="1"/>
      <c r="AR608" s="1"/>
      <c r="AS608" s="1"/>
      <c r="AT608" s="1"/>
      <c r="AU608" s="1"/>
    </row>
    <row r="609" ht="10.5" customHeight="1">
      <c r="A609" s="1"/>
      <c r="B609" s="2"/>
      <c r="C609" s="1"/>
      <c r="D609" s="1"/>
      <c r="E609" s="1"/>
      <c r="F609" s="9"/>
      <c r="G609" s="9"/>
      <c r="H609" s="9"/>
      <c r="I609" s="9"/>
      <c r="J609" s="93"/>
      <c r="K609" s="9"/>
      <c r="L609" s="9"/>
      <c r="M609" s="9"/>
      <c r="N609" s="9"/>
      <c r="O609" s="9"/>
      <c r="P609" s="9"/>
      <c r="Q609" s="93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1"/>
      <c r="AL609" s="1"/>
      <c r="AM609" s="1"/>
      <c r="AN609" s="94"/>
      <c r="AO609" s="1"/>
      <c r="AP609" s="1"/>
      <c r="AQ609" s="1"/>
      <c r="AR609" s="1"/>
      <c r="AS609" s="1"/>
      <c r="AT609" s="1"/>
      <c r="AU609" s="1"/>
    </row>
    <row r="610" ht="10.5" customHeight="1">
      <c r="A610" s="1"/>
      <c r="B610" s="2"/>
      <c r="C610" s="1"/>
      <c r="D610" s="1"/>
      <c r="E610" s="1"/>
      <c r="F610" s="9"/>
      <c r="G610" s="9"/>
      <c r="H610" s="9"/>
      <c r="I610" s="9"/>
      <c r="J610" s="93"/>
      <c r="K610" s="9"/>
      <c r="L610" s="9"/>
      <c r="M610" s="9"/>
      <c r="N610" s="9"/>
      <c r="O610" s="9"/>
      <c r="P610" s="9"/>
      <c r="Q610" s="93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1"/>
      <c r="AL610" s="1"/>
      <c r="AM610" s="1"/>
      <c r="AN610" s="94"/>
      <c r="AO610" s="1"/>
      <c r="AP610" s="1"/>
      <c r="AQ610" s="1"/>
      <c r="AR610" s="1"/>
      <c r="AS610" s="1"/>
      <c r="AT610" s="1"/>
      <c r="AU610" s="1"/>
    </row>
    <row r="611" ht="10.5" customHeight="1">
      <c r="A611" s="1"/>
      <c r="B611" s="2"/>
      <c r="C611" s="1"/>
      <c r="D611" s="1"/>
      <c r="E611" s="1"/>
      <c r="F611" s="9"/>
      <c r="G611" s="9"/>
      <c r="H611" s="9"/>
      <c r="I611" s="9"/>
      <c r="J611" s="93"/>
      <c r="K611" s="9"/>
      <c r="L611" s="9"/>
      <c r="M611" s="9"/>
      <c r="N611" s="9"/>
      <c r="O611" s="9"/>
      <c r="P611" s="9"/>
      <c r="Q611" s="93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1"/>
      <c r="AL611" s="1"/>
      <c r="AM611" s="1"/>
      <c r="AN611" s="94"/>
      <c r="AO611" s="1"/>
      <c r="AP611" s="1"/>
      <c r="AQ611" s="1"/>
      <c r="AR611" s="1"/>
      <c r="AS611" s="1"/>
      <c r="AT611" s="1"/>
      <c r="AU611" s="1"/>
    </row>
    <row r="612" ht="10.5" customHeight="1">
      <c r="A612" s="1"/>
      <c r="B612" s="2"/>
      <c r="C612" s="1"/>
      <c r="D612" s="1"/>
      <c r="E612" s="1"/>
      <c r="F612" s="9"/>
      <c r="G612" s="9"/>
      <c r="H612" s="9"/>
      <c r="I612" s="9"/>
      <c r="J612" s="93"/>
      <c r="K612" s="9"/>
      <c r="L612" s="9"/>
      <c r="M612" s="9"/>
      <c r="N612" s="9"/>
      <c r="O612" s="9"/>
      <c r="P612" s="9"/>
      <c r="Q612" s="93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1"/>
      <c r="AL612" s="1"/>
      <c r="AM612" s="1"/>
      <c r="AN612" s="94"/>
      <c r="AO612" s="1"/>
      <c r="AP612" s="1"/>
      <c r="AQ612" s="1"/>
      <c r="AR612" s="1"/>
      <c r="AS612" s="1"/>
      <c r="AT612" s="1"/>
      <c r="AU612" s="1"/>
    </row>
    <row r="613" ht="10.5" customHeight="1">
      <c r="A613" s="1"/>
      <c r="B613" s="2"/>
      <c r="C613" s="1"/>
      <c r="D613" s="1"/>
      <c r="E613" s="1"/>
      <c r="F613" s="9"/>
      <c r="G613" s="9"/>
      <c r="H613" s="9"/>
      <c r="I613" s="9"/>
      <c r="J613" s="93"/>
      <c r="K613" s="9"/>
      <c r="L613" s="9"/>
      <c r="M613" s="9"/>
      <c r="N613" s="9"/>
      <c r="O613" s="9"/>
      <c r="P613" s="9"/>
      <c r="Q613" s="93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1"/>
      <c r="AL613" s="1"/>
      <c r="AM613" s="1"/>
      <c r="AN613" s="94"/>
      <c r="AO613" s="1"/>
      <c r="AP613" s="1"/>
      <c r="AQ613" s="1"/>
      <c r="AR613" s="1"/>
      <c r="AS613" s="1"/>
      <c r="AT613" s="1"/>
      <c r="AU613" s="1"/>
    </row>
    <row r="614" ht="10.5" customHeight="1">
      <c r="A614" s="1"/>
      <c r="B614" s="2"/>
      <c r="C614" s="1"/>
      <c r="D614" s="1"/>
      <c r="E614" s="1"/>
      <c r="F614" s="9"/>
      <c r="G614" s="9"/>
      <c r="H614" s="9"/>
      <c r="I614" s="9"/>
      <c r="J614" s="93"/>
      <c r="K614" s="9"/>
      <c r="L614" s="9"/>
      <c r="M614" s="9"/>
      <c r="N614" s="9"/>
      <c r="O614" s="9"/>
      <c r="P614" s="9"/>
      <c r="Q614" s="93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1"/>
      <c r="AL614" s="1"/>
      <c r="AM614" s="1"/>
      <c r="AN614" s="94"/>
      <c r="AO614" s="1"/>
      <c r="AP614" s="1"/>
      <c r="AQ614" s="1"/>
      <c r="AR614" s="1"/>
      <c r="AS614" s="1"/>
      <c r="AT614" s="1"/>
      <c r="AU614" s="1"/>
    </row>
    <row r="615" ht="10.5" customHeight="1">
      <c r="A615" s="1"/>
      <c r="B615" s="2"/>
      <c r="C615" s="1"/>
      <c r="D615" s="1"/>
      <c r="E615" s="1"/>
      <c r="F615" s="9"/>
      <c r="G615" s="9"/>
      <c r="H615" s="9"/>
      <c r="I615" s="9"/>
      <c r="J615" s="93"/>
      <c r="K615" s="9"/>
      <c r="L615" s="9"/>
      <c r="M615" s="9"/>
      <c r="N615" s="9"/>
      <c r="O615" s="9"/>
      <c r="P615" s="9"/>
      <c r="Q615" s="93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1"/>
      <c r="AL615" s="1"/>
      <c r="AM615" s="1"/>
      <c r="AN615" s="94"/>
      <c r="AO615" s="1"/>
      <c r="AP615" s="1"/>
      <c r="AQ615" s="1"/>
      <c r="AR615" s="1"/>
      <c r="AS615" s="1"/>
      <c r="AT615" s="1"/>
      <c r="AU615" s="1"/>
    </row>
    <row r="616" ht="10.5" customHeight="1">
      <c r="A616" s="1"/>
      <c r="B616" s="2"/>
      <c r="C616" s="1"/>
      <c r="D616" s="1"/>
      <c r="E616" s="1"/>
      <c r="F616" s="9"/>
      <c r="G616" s="9"/>
      <c r="H616" s="9"/>
      <c r="I616" s="9"/>
      <c r="J616" s="93"/>
      <c r="K616" s="9"/>
      <c r="L616" s="9"/>
      <c r="M616" s="9"/>
      <c r="N616" s="9"/>
      <c r="O616" s="9"/>
      <c r="P616" s="9"/>
      <c r="Q616" s="93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1"/>
      <c r="AL616" s="1"/>
      <c r="AM616" s="1"/>
      <c r="AN616" s="94"/>
      <c r="AO616" s="1"/>
      <c r="AP616" s="1"/>
      <c r="AQ616" s="1"/>
      <c r="AR616" s="1"/>
      <c r="AS616" s="1"/>
      <c r="AT616" s="1"/>
      <c r="AU616" s="1"/>
    </row>
    <row r="617" ht="10.5" customHeight="1">
      <c r="A617" s="1"/>
      <c r="B617" s="2"/>
      <c r="C617" s="1"/>
      <c r="D617" s="1"/>
      <c r="E617" s="1"/>
      <c r="F617" s="9"/>
      <c r="G617" s="9"/>
      <c r="H617" s="9"/>
      <c r="I617" s="9"/>
      <c r="J617" s="93"/>
      <c r="K617" s="9"/>
      <c r="L617" s="9"/>
      <c r="M617" s="9"/>
      <c r="N617" s="9"/>
      <c r="O617" s="9"/>
      <c r="P617" s="9"/>
      <c r="Q617" s="93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1"/>
      <c r="AL617" s="1"/>
      <c r="AM617" s="1"/>
      <c r="AN617" s="94"/>
      <c r="AO617" s="1"/>
      <c r="AP617" s="1"/>
      <c r="AQ617" s="1"/>
      <c r="AR617" s="1"/>
      <c r="AS617" s="1"/>
      <c r="AT617" s="1"/>
      <c r="AU617" s="1"/>
    </row>
    <row r="618" ht="10.5" customHeight="1">
      <c r="A618" s="1"/>
      <c r="B618" s="2"/>
      <c r="C618" s="1"/>
      <c r="D618" s="1"/>
      <c r="E618" s="1"/>
      <c r="F618" s="9"/>
      <c r="G618" s="9"/>
      <c r="H618" s="9"/>
      <c r="I618" s="9"/>
      <c r="J618" s="93"/>
      <c r="K618" s="9"/>
      <c r="L618" s="9"/>
      <c r="M618" s="9"/>
      <c r="N618" s="9"/>
      <c r="O618" s="9"/>
      <c r="P618" s="9"/>
      <c r="Q618" s="93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1"/>
      <c r="AL618" s="1"/>
      <c r="AM618" s="1"/>
      <c r="AN618" s="94"/>
      <c r="AO618" s="1"/>
      <c r="AP618" s="1"/>
      <c r="AQ618" s="1"/>
      <c r="AR618" s="1"/>
      <c r="AS618" s="1"/>
      <c r="AT618" s="1"/>
      <c r="AU618" s="1"/>
    </row>
    <row r="619" ht="10.5" customHeight="1">
      <c r="A619" s="1"/>
      <c r="B619" s="2"/>
      <c r="C619" s="1"/>
      <c r="D619" s="1"/>
      <c r="E619" s="1"/>
      <c r="F619" s="9"/>
      <c r="G619" s="9"/>
      <c r="H619" s="9"/>
      <c r="I619" s="9"/>
      <c r="J619" s="93"/>
      <c r="K619" s="9"/>
      <c r="L619" s="9"/>
      <c r="M619" s="9"/>
      <c r="N619" s="9"/>
      <c r="O619" s="9"/>
      <c r="P619" s="9"/>
      <c r="Q619" s="93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1"/>
      <c r="AL619" s="1"/>
      <c r="AM619" s="1"/>
      <c r="AN619" s="94"/>
      <c r="AO619" s="1"/>
      <c r="AP619" s="1"/>
      <c r="AQ619" s="1"/>
      <c r="AR619" s="1"/>
      <c r="AS619" s="1"/>
      <c r="AT619" s="1"/>
      <c r="AU619" s="1"/>
    </row>
    <row r="620" ht="10.5" customHeight="1">
      <c r="A620" s="1"/>
      <c r="B620" s="2"/>
      <c r="C620" s="1"/>
      <c r="D620" s="1"/>
      <c r="E620" s="1"/>
      <c r="F620" s="9"/>
      <c r="G620" s="9"/>
      <c r="H620" s="9"/>
      <c r="I620" s="9"/>
      <c r="J620" s="93"/>
      <c r="K620" s="9"/>
      <c r="L620" s="9"/>
      <c r="M620" s="9"/>
      <c r="N620" s="9"/>
      <c r="O620" s="9"/>
      <c r="P620" s="9"/>
      <c r="Q620" s="93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1"/>
      <c r="AL620" s="1"/>
      <c r="AM620" s="1"/>
      <c r="AN620" s="94"/>
      <c r="AO620" s="1"/>
      <c r="AP620" s="1"/>
      <c r="AQ620" s="1"/>
      <c r="AR620" s="1"/>
      <c r="AS620" s="1"/>
      <c r="AT620" s="1"/>
      <c r="AU620" s="1"/>
    </row>
    <row r="621" ht="10.5" customHeight="1">
      <c r="A621" s="1"/>
      <c r="B621" s="2"/>
      <c r="C621" s="1"/>
      <c r="D621" s="1"/>
      <c r="E621" s="1"/>
      <c r="F621" s="9"/>
      <c r="G621" s="9"/>
      <c r="H621" s="9"/>
      <c r="I621" s="9"/>
      <c r="J621" s="93"/>
      <c r="K621" s="9"/>
      <c r="L621" s="9"/>
      <c r="M621" s="9"/>
      <c r="N621" s="9"/>
      <c r="O621" s="9"/>
      <c r="P621" s="9"/>
      <c r="Q621" s="93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1"/>
      <c r="AL621" s="1"/>
      <c r="AM621" s="1"/>
      <c r="AN621" s="94"/>
      <c r="AO621" s="1"/>
      <c r="AP621" s="1"/>
      <c r="AQ621" s="1"/>
      <c r="AR621" s="1"/>
      <c r="AS621" s="1"/>
      <c r="AT621" s="1"/>
      <c r="AU621" s="1"/>
    </row>
    <row r="622" ht="10.5" customHeight="1">
      <c r="A622" s="1"/>
      <c r="B622" s="2"/>
      <c r="C622" s="1"/>
      <c r="D622" s="1"/>
      <c r="E622" s="1"/>
      <c r="F622" s="9"/>
      <c r="G622" s="9"/>
      <c r="H622" s="9"/>
      <c r="I622" s="9"/>
      <c r="J622" s="93"/>
      <c r="K622" s="9"/>
      <c r="L622" s="9"/>
      <c r="M622" s="9"/>
      <c r="N622" s="9"/>
      <c r="O622" s="9"/>
      <c r="P622" s="9"/>
      <c r="Q622" s="93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1"/>
      <c r="AL622" s="1"/>
      <c r="AM622" s="1"/>
      <c r="AN622" s="94"/>
      <c r="AO622" s="1"/>
      <c r="AP622" s="1"/>
      <c r="AQ622" s="1"/>
      <c r="AR622" s="1"/>
      <c r="AS622" s="1"/>
      <c r="AT622" s="1"/>
      <c r="AU622" s="1"/>
    </row>
    <row r="623" ht="10.5" customHeight="1">
      <c r="A623" s="1"/>
      <c r="B623" s="2"/>
      <c r="C623" s="1"/>
      <c r="D623" s="1"/>
      <c r="E623" s="1"/>
      <c r="F623" s="9"/>
      <c r="G623" s="9"/>
      <c r="H623" s="9"/>
      <c r="I623" s="9"/>
      <c r="J623" s="93"/>
      <c r="K623" s="9"/>
      <c r="L623" s="9"/>
      <c r="M623" s="9"/>
      <c r="N623" s="9"/>
      <c r="O623" s="9"/>
      <c r="P623" s="9"/>
      <c r="Q623" s="93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1"/>
      <c r="AL623" s="1"/>
      <c r="AM623" s="1"/>
      <c r="AN623" s="94"/>
      <c r="AO623" s="1"/>
      <c r="AP623" s="1"/>
      <c r="AQ623" s="1"/>
      <c r="AR623" s="1"/>
      <c r="AS623" s="1"/>
      <c r="AT623" s="1"/>
      <c r="AU623" s="1"/>
    </row>
    <row r="624" ht="10.5" customHeight="1">
      <c r="A624" s="1"/>
      <c r="B624" s="2"/>
      <c r="C624" s="1"/>
      <c r="D624" s="1"/>
      <c r="E624" s="1"/>
      <c r="F624" s="9"/>
      <c r="G624" s="9"/>
      <c r="H624" s="9"/>
      <c r="I624" s="9"/>
      <c r="J624" s="93"/>
      <c r="K624" s="9"/>
      <c r="L624" s="9"/>
      <c r="M624" s="9"/>
      <c r="N624" s="9"/>
      <c r="O624" s="9"/>
      <c r="P624" s="9"/>
      <c r="Q624" s="93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1"/>
      <c r="AL624" s="1"/>
      <c r="AM624" s="1"/>
      <c r="AN624" s="94"/>
      <c r="AO624" s="1"/>
      <c r="AP624" s="1"/>
      <c r="AQ624" s="1"/>
      <c r="AR624" s="1"/>
      <c r="AS624" s="1"/>
      <c r="AT624" s="1"/>
      <c r="AU624" s="1"/>
    </row>
    <row r="625" ht="10.5" customHeight="1">
      <c r="A625" s="1"/>
      <c r="B625" s="2"/>
      <c r="C625" s="1"/>
      <c r="D625" s="1"/>
      <c r="E625" s="1"/>
      <c r="F625" s="9"/>
      <c r="G625" s="9"/>
      <c r="H625" s="9"/>
      <c r="I625" s="9"/>
      <c r="J625" s="93"/>
      <c r="K625" s="9"/>
      <c r="L625" s="9"/>
      <c r="M625" s="9"/>
      <c r="N625" s="9"/>
      <c r="O625" s="9"/>
      <c r="P625" s="9"/>
      <c r="Q625" s="93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1"/>
      <c r="AL625" s="1"/>
      <c r="AM625" s="1"/>
      <c r="AN625" s="94"/>
      <c r="AO625" s="1"/>
      <c r="AP625" s="1"/>
      <c r="AQ625" s="1"/>
      <c r="AR625" s="1"/>
      <c r="AS625" s="1"/>
      <c r="AT625" s="1"/>
      <c r="AU625" s="1"/>
    </row>
    <row r="626" ht="10.5" customHeight="1">
      <c r="A626" s="1"/>
      <c r="B626" s="2"/>
      <c r="C626" s="1"/>
      <c r="D626" s="1"/>
      <c r="E626" s="1"/>
      <c r="F626" s="9"/>
      <c r="G626" s="9"/>
      <c r="H626" s="9"/>
      <c r="I626" s="9"/>
      <c r="J626" s="93"/>
      <c r="K626" s="9"/>
      <c r="L626" s="9"/>
      <c r="M626" s="9"/>
      <c r="N626" s="9"/>
      <c r="O626" s="9"/>
      <c r="P626" s="9"/>
      <c r="Q626" s="93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1"/>
      <c r="AL626" s="1"/>
      <c r="AM626" s="1"/>
      <c r="AN626" s="94"/>
      <c r="AO626" s="1"/>
      <c r="AP626" s="1"/>
      <c r="AQ626" s="1"/>
      <c r="AR626" s="1"/>
      <c r="AS626" s="1"/>
      <c r="AT626" s="1"/>
      <c r="AU626" s="1"/>
    </row>
    <row r="627" ht="10.5" customHeight="1">
      <c r="A627" s="1"/>
      <c r="B627" s="2"/>
      <c r="C627" s="1"/>
      <c r="D627" s="1"/>
      <c r="E627" s="1"/>
      <c r="F627" s="9"/>
      <c r="G627" s="9"/>
      <c r="H627" s="9"/>
      <c r="I627" s="9"/>
      <c r="J627" s="93"/>
      <c r="K627" s="9"/>
      <c r="L627" s="9"/>
      <c r="M627" s="9"/>
      <c r="N627" s="9"/>
      <c r="O627" s="9"/>
      <c r="P627" s="9"/>
      <c r="Q627" s="93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1"/>
      <c r="AL627" s="1"/>
      <c r="AM627" s="1"/>
      <c r="AN627" s="94"/>
      <c r="AO627" s="1"/>
      <c r="AP627" s="1"/>
      <c r="AQ627" s="1"/>
      <c r="AR627" s="1"/>
      <c r="AS627" s="1"/>
      <c r="AT627" s="1"/>
      <c r="AU627" s="1"/>
    </row>
    <row r="628" ht="10.5" customHeight="1">
      <c r="A628" s="1"/>
      <c r="B628" s="2"/>
      <c r="C628" s="1"/>
      <c r="D628" s="1"/>
      <c r="E628" s="1"/>
      <c r="F628" s="9"/>
      <c r="G628" s="9"/>
      <c r="H628" s="9"/>
      <c r="I628" s="9"/>
      <c r="J628" s="93"/>
      <c r="K628" s="9"/>
      <c r="L628" s="9"/>
      <c r="M628" s="9"/>
      <c r="N628" s="9"/>
      <c r="O628" s="9"/>
      <c r="P628" s="9"/>
      <c r="Q628" s="93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1"/>
      <c r="AL628" s="1"/>
      <c r="AM628" s="1"/>
      <c r="AN628" s="94"/>
      <c r="AO628" s="1"/>
      <c r="AP628" s="1"/>
      <c r="AQ628" s="1"/>
      <c r="AR628" s="1"/>
      <c r="AS628" s="1"/>
      <c r="AT628" s="1"/>
      <c r="AU628" s="1"/>
    </row>
    <row r="629" ht="10.5" customHeight="1">
      <c r="A629" s="1"/>
      <c r="B629" s="2"/>
      <c r="C629" s="1"/>
      <c r="D629" s="1"/>
      <c r="E629" s="1"/>
      <c r="F629" s="9"/>
      <c r="G629" s="9"/>
      <c r="H629" s="9"/>
      <c r="I629" s="9"/>
      <c r="J629" s="93"/>
      <c r="K629" s="9"/>
      <c r="L629" s="9"/>
      <c r="M629" s="9"/>
      <c r="N629" s="9"/>
      <c r="O629" s="9"/>
      <c r="P629" s="9"/>
      <c r="Q629" s="93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1"/>
      <c r="AL629" s="1"/>
      <c r="AM629" s="1"/>
      <c r="AN629" s="94"/>
      <c r="AO629" s="1"/>
      <c r="AP629" s="1"/>
      <c r="AQ629" s="1"/>
      <c r="AR629" s="1"/>
      <c r="AS629" s="1"/>
      <c r="AT629" s="1"/>
      <c r="AU629" s="1"/>
    </row>
    <row r="630" ht="10.5" customHeight="1">
      <c r="A630" s="1"/>
      <c r="B630" s="2"/>
      <c r="C630" s="1"/>
      <c r="D630" s="1"/>
      <c r="E630" s="1"/>
      <c r="F630" s="9"/>
      <c r="G630" s="9"/>
      <c r="H630" s="9"/>
      <c r="I630" s="9"/>
      <c r="J630" s="93"/>
      <c r="K630" s="9"/>
      <c r="L630" s="9"/>
      <c r="M630" s="9"/>
      <c r="N630" s="9"/>
      <c r="O630" s="9"/>
      <c r="P630" s="9"/>
      <c r="Q630" s="93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1"/>
      <c r="AL630" s="1"/>
      <c r="AM630" s="1"/>
      <c r="AN630" s="94"/>
      <c r="AO630" s="1"/>
      <c r="AP630" s="1"/>
      <c r="AQ630" s="1"/>
      <c r="AR630" s="1"/>
      <c r="AS630" s="1"/>
      <c r="AT630" s="1"/>
      <c r="AU630" s="1"/>
    </row>
    <row r="631" ht="10.5" customHeight="1">
      <c r="A631" s="1"/>
      <c r="B631" s="2"/>
      <c r="C631" s="1"/>
      <c r="D631" s="1"/>
      <c r="E631" s="1"/>
      <c r="F631" s="9"/>
      <c r="G631" s="9"/>
      <c r="H631" s="9"/>
      <c r="I631" s="9"/>
      <c r="J631" s="93"/>
      <c r="K631" s="9"/>
      <c r="L631" s="9"/>
      <c r="M631" s="9"/>
      <c r="N631" s="9"/>
      <c r="O631" s="9"/>
      <c r="P631" s="9"/>
      <c r="Q631" s="93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1"/>
      <c r="AL631" s="1"/>
      <c r="AM631" s="1"/>
      <c r="AN631" s="94"/>
      <c r="AO631" s="1"/>
      <c r="AP631" s="1"/>
      <c r="AQ631" s="1"/>
      <c r="AR631" s="1"/>
      <c r="AS631" s="1"/>
      <c r="AT631" s="1"/>
      <c r="AU631" s="1"/>
    </row>
    <row r="632" ht="10.5" customHeight="1">
      <c r="A632" s="1"/>
      <c r="B632" s="2"/>
      <c r="C632" s="1"/>
      <c r="D632" s="1"/>
      <c r="E632" s="1"/>
      <c r="F632" s="9"/>
      <c r="G632" s="9"/>
      <c r="H632" s="9"/>
      <c r="I632" s="9"/>
      <c r="J632" s="93"/>
      <c r="K632" s="9"/>
      <c r="L632" s="9"/>
      <c r="M632" s="9"/>
      <c r="N632" s="9"/>
      <c r="O632" s="9"/>
      <c r="P632" s="9"/>
      <c r="Q632" s="93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1"/>
      <c r="AL632" s="1"/>
      <c r="AM632" s="1"/>
      <c r="AN632" s="94"/>
      <c r="AO632" s="1"/>
      <c r="AP632" s="1"/>
      <c r="AQ632" s="1"/>
      <c r="AR632" s="1"/>
      <c r="AS632" s="1"/>
      <c r="AT632" s="1"/>
      <c r="AU632" s="1"/>
    </row>
    <row r="633" ht="10.5" customHeight="1">
      <c r="A633" s="1"/>
      <c r="B633" s="2"/>
      <c r="C633" s="1"/>
      <c r="D633" s="1"/>
      <c r="E633" s="1"/>
      <c r="F633" s="9"/>
      <c r="G633" s="9"/>
      <c r="H633" s="9"/>
      <c r="I633" s="9"/>
      <c r="J633" s="93"/>
      <c r="K633" s="9"/>
      <c r="L633" s="9"/>
      <c r="M633" s="9"/>
      <c r="N633" s="9"/>
      <c r="O633" s="9"/>
      <c r="P633" s="9"/>
      <c r="Q633" s="93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1"/>
      <c r="AL633" s="1"/>
      <c r="AM633" s="1"/>
      <c r="AN633" s="94"/>
      <c r="AO633" s="1"/>
      <c r="AP633" s="1"/>
      <c r="AQ633" s="1"/>
      <c r="AR633" s="1"/>
      <c r="AS633" s="1"/>
      <c r="AT633" s="1"/>
      <c r="AU633" s="1"/>
    </row>
    <row r="634" ht="10.5" customHeight="1">
      <c r="A634" s="1"/>
      <c r="B634" s="2"/>
      <c r="C634" s="1"/>
      <c r="D634" s="1"/>
      <c r="E634" s="1"/>
      <c r="F634" s="9"/>
      <c r="G634" s="9"/>
      <c r="H634" s="9"/>
      <c r="I634" s="9"/>
      <c r="J634" s="93"/>
      <c r="K634" s="9"/>
      <c r="L634" s="9"/>
      <c r="M634" s="9"/>
      <c r="N634" s="9"/>
      <c r="O634" s="9"/>
      <c r="P634" s="9"/>
      <c r="Q634" s="93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1"/>
      <c r="AL634" s="1"/>
      <c r="AM634" s="1"/>
      <c r="AN634" s="94"/>
      <c r="AO634" s="1"/>
      <c r="AP634" s="1"/>
      <c r="AQ634" s="1"/>
      <c r="AR634" s="1"/>
      <c r="AS634" s="1"/>
      <c r="AT634" s="1"/>
      <c r="AU634" s="1"/>
    </row>
    <row r="635" ht="10.5" customHeight="1">
      <c r="A635" s="1"/>
      <c r="B635" s="2"/>
      <c r="C635" s="1"/>
      <c r="D635" s="1"/>
      <c r="E635" s="1"/>
      <c r="F635" s="9"/>
      <c r="G635" s="9"/>
      <c r="H635" s="9"/>
      <c r="I635" s="9"/>
      <c r="J635" s="93"/>
      <c r="K635" s="9"/>
      <c r="L635" s="9"/>
      <c r="M635" s="9"/>
      <c r="N635" s="9"/>
      <c r="O635" s="9"/>
      <c r="P635" s="9"/>
      <c r="Q635" s="93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1"/>
      <c r="AL635" s="1"/>
      <c r="AM635" s="1"/>
      <c r="AN635" s="94"/>
      <c r="AO635" s="1"/>
      <c r="AP635" s="1"/>
      <c r="AQ635" s="1"/>
      <c r="AR635" s="1"/>
      <c r="AS635" s="1"/>
      <c r="AT635" s="1"/>
      <c r="AU635" s="1"/>
    </row>
    <row r="636" ht="10.5" customHeight="1">
      <c r="A636" s="1"/>
      <c r="B636" s="2"/>
      <c r="C636" s="1"/>
      <c r="D636" s="1"/>
      <c r="E636" s="1"/>
      <c r="F636" s="9"/>
      <c r="G636" s="9"/>
      <c r="H636" s="9"/>
      <c r="I636" s="9"/>
      <c r="J636" s="93"/>
      <c r="K636" s="9"/>
      <c r="L636" s="9"/>
      <c r="M636" s="9"/>
      <c r="N636" s="9"/>
      <c r="O636" s="9"/>
      <c r="P636" s="9"/>
      <c r="Q636" s="93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1"/>
      <c r="AL636" s="1"/>
      <c r="AM636" s="1"/>
      <c r="AN636" s="94"/>
      <c r="AO636" s="1"/>
      <c r="AP636" s="1"/>
      <c r="AQ636" s="1"/>
      <c r="AR636" s="1"/>
      <c r="AS636" s="1"/>
      <c r="AT636" s="1"/>
      <c r="AU636" s="1"/>
    </row>
    <row r="637" ht="10.5" customHeight="1">
      <c r="A637" s="1"/>
      <c r="B637" s="2"/>
      <c r="C637" s="1"/>
      <c r="D637" s="1"/>
      <c r="E637" s="1"/>
      <c r="F637" s="9"/>
      <c r="G637" s="9"/>
      <c r="H637" s="9"/>
      <c r="I637" s="9"/>
      <c r="J637" s="93"/>
      <c r="K637" s="9"/>
      <c r="L637" s="9"/>
      <c r="M637" s="9"/>
      <c r="N637" s="9"/>
      <c r="O637" s="9"/>
      <c r="P637" s="9"/>
      <c r="Q637" s="93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1"/>
      <c r="AL637" s="1"/>
      <c r="AM637" s="1"/>
      <c r="AN637" s="94"/>
      <c r="AO637" s="1"/>
      <c r="AP637" s="1"/>
      <c r="AQ637" s="1"/>
      <c r="AR637" s="1"/>
      <c r="AS637" s="1"/>
      <c r="AT637" s="1"/>
      <c r="AU637" s="1"/>
    </row>
    <row r="638" ht="10.5" customHeight="1">
      <c r="A638" s="1"/>
      <c r="B638" s="2"/>
      <c r="C638" s="1"/>
      <c r="D638" s="1"/>
      <c r="E638" s="1"/>
      <c r="F638" s="9"/>
      <c r="G638" s="9"/>
      <c r="H638" s="9"/>
      <c r="I638" s="9"/>
      <c r="J638" s="93"/>
      <c r="K638" s="9"/>
      <c r="L638" s="9"/>
      <c r="M638" s="9"/>
      <c r="N638" s="9"/>
      <c r="O638" s="9"/>
      <c r="P638" s="9"/>
      <c r="Q638" s="93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1"/>
      <c r="AL638" s="1"/>
      <c r="AM638" s="1"/>
      <c r="AN638" s="94"/>
      <c r="AO638" s="1"/>
      <c r="AP638" s="1"/>
      <c r="AQ638" s="1"/>
      <c r="AR638" s="1"/>
      <c r="AS638" s="1"/>
      <c r="AT638" s="1"/>
      <c r="AU638" s="1"/>
    </row>
    <row r="639" ht="10.5" customHeight="1">
      <c r="A639" s="1"/>
      <c r="B639" s="2"/>
      <c r="C639" s="1"/>
      <c r="D639" s="1"/>
      <c r="E639" s="1"/>
      <c r="F639" s="9"/>
      <c r="G639" s="9"/>
      <c r="H639" s="9"/>
      <c r="I639" s="9"/>
      <c r="J639" s="93"/>
      <c r="K639" s="9"/>
      <c r="L639" s="9"/>
      <c r="M639" s="9"/>
      <c r="N639" s="9"/>
      <c r="O639" s="9"/>
      <c r="P639" s="9"/>
      <c r="Q639" s="93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1"/>
      <c r="AL639" s="1"/>
      <c r="AM639" s="1"/>
      <c r="AN639" s="94"/>
      <c r="AO639" s="1"/>
      <c r="AP639" s="1"/>
      <c r="AQ639" s="1"/>
      <c r="AR639" s="1"/>
      <c r="AS639" s="1"/>
      <c r="AT639" s="1"/>
      <c r="AU639" s="1"/>
    </row>
    <row r="640" ht="10.5" customHeight="1">
      <c r="A640" s="1"/>
      <c r="B640" s="2"/>
      <c r="C640" s="1"/>
      <c r="D640" s="1"/>
      <c r="E640" s="1"/>
      <c r="F640" s="9"/>
      <c r="G640" s="9"/>
      <c r="H640" s="9"/>
      <c r="I640" s="9"/>
      <c r="J640" s="93"/>
      <c r="K640" s="9"/>
      <c r="L640" s="9"/>
      <c r="M640" s="9"/>
      <c r="N640" s="9"/>
      <c r="O640" s="9"/>
      <c r="P640" s="9"/>
      <c r="Q640" s="93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1"/>
      <c r="AL640" s="1"/>
      <c r="AM640" s="1"/>
      <c r="AN640" s="94"/>
      <c r="AO640" s="1"/>
      <c r="AP640" s="1"/>
      <c r="AQ640" s="1"/>
      <c r="AR640" s="1"/>
      <c r="AS640" s="1"/>
      <c r="AT640" s="1"/>
      <c r="AU640" s="1"/>
    </row>
    <row r="641" ht="10.5" customHeight="1">
      <c r="A641" s="1"/>
      <c r="B641" s="2"/>
      <c r="C641" s="1"/>
      <c r="D641" s="1"/>
      <c r="E641" s="1"/>
      <c r="F641" s="9"/>
      <c r="G641" s="9"/>
      <c r="H641" s="9"/>
      <c r="I641" s="9"/>
      <c r="J641" s="93"/>
      <c r="K641" s="9"/>
      <c r="L641" s="9"/>
      <c r="M641" s="9"/>
      <c r="N641" s="9"/>
      <c r="O641" s="9"/>
      <c r="P641" s="9"/>
      <c r="Q641" s="93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1"/>
      <c r="AL641" s="1"/>
      <c r="AM641" s="1"/>
      <c r="AN641" s="94"/>
      <c r="AO641" s="1"/>
      <c r="AP641" s="1"/>
      <c r="AQ641" s="1"/>
      <c r="AR641" s="1"/>
      <c r="AS641" s="1"/>
      <c r="AT641" s="1"/>
      <c r="AU641" s="1"/>
    </row>
    <row r="642" ht="10.5" customHeight="1">
      <c r="A642" s="1"/>
      <c r="B642" s="2"/>
      <c r="C642" s="1"/>
      <c r="D642" s="1"/>
      <c r="E642" s="1"/>
      <c r="F642" s="9"/>
      <c r="G642" s="9"/>
      <c r="H642" s="9"/>
      <c r="I642" s="9"/>
      <c r="J642" s="93"/>
      <c r="K642" s="9"/>
      <c r="L642" s="9"/>
      <c r="M642" s="9"/>
      <c r="N642" s="9"/>
      <c r="O642" s="9"/>
      <c r="P642" s="9"/>
      <c r="Q642" s="93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1"/>
      <c r="AL642" s="1"/>
      <c r="AM642" s="1"/>
      <c r="AN642" s="94"/>
      <c r="AO642" s="1"/>
      <c r="AP642" s="1"/>
      <c r="AQ642" s="1"/>
      <c r="AR642" s="1"/>
      <c r="AS642" s="1"/>
      <c r="AT642" s="1"/>
      <c r="AU642" s="1"/>
    </row>
    <row r="643" ht="10.5" customHeight="1">
      <c r="A643" s="1"/>
      <c r="B643" s="2"/>
      <c r="C643" s="1"/>
      <c r="D643" s="1"/>
      <c r="E643" s="1"/>
      <c r="F643" s="9"/>
      <c r="G643" s="9"/>
      <c r="H643" s="9"/>
      <c r="I643" s="9"/>
      <c r="J643" s="93"/>
      <c r="K643" s="9"/>
      <c r="L643" s="9"/>
      <c r="M643" s="9"/>
      <c r="N643" s="9"/>
      <c r="O643" s="9"/>
      <c r="P643" s="9"/>
      <c r="Q643" s="93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1"/>
      <c r="AL643" s="1"/>
      <c r="AM643" s="1"/>
      <c r="AN643" s="94"/>
      <c r="AO643" s="1"/>
      <c r="AP643" s="1"/>
      <c r="AQ643" s="1"/>
      <c r="AR643" s="1"/>
      <c r="AS643" s="1"/>
      <c r="AT643" s="1"/>
      <c r="AU643" s="1"/>
    </row>
    <row r="644" ht="10.5" customHeight="1">
      <c r="A644" s="1"/>
      <c r="B644" s="2"/>
      <c r="C644" s="1"/>
      <c r="D644" s="1"/>
      <c r="E644" s="1"/>
      <c r="F644" s="9"/>
      <c r="G644" s="9"/>
      <c r="H644" s="9"/>
      <c r="I644" s="9"/>
      <c r="J644" s="93"/>
      <c r="K644" s="9"/>
      <c r="L644" s="9"/>
      <c r="M644" s="9"/>
      <c r="N644" s="9"/>
      <c r="O644" s="9"/>
      <c r="P644" s="9"/>
      <c r="Q644" s="93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1"/>
      <c r="AL644" s="1"/>
      <c r="AM644" s="1"/>
      <c r="AN644" s="94"/>
      <c r="AO644" s="1"/>
      <c r="AP644" s="1"/>
      <c r="AQ644" s="1"/>
      <c r="AR644" s="1"/>
      <c r="AS644" s="1"/>
      <c r="AT644" s="1"/>
      <c r="AU644" s="1"/>
    </row>
    <row r="645" ht="10.5" customHeight="1">
      <c r="A645" s="1"/>
      <c r="B645" s="2"/>
      <c r="C645" s="1"/>
      <c r="D645" s="1"/>
      <c r="E645" s="1"/>
      <c r="F645" s="9"/>
      <c r="G645" s="9"/>
      <c r="H645" s="9"/>
      <c r="I645" s="9"/>
      <c r="J645" s="93"/>
      <c r="K645" s="9"/>
      <c r="L645" s="9"/>
      <c r="M645" s="9"/>
      <c r="N645" s="9"/>
      <c r="O645" s="9"/>
      <c r="P645" s="9"/>
      <c r="Q645" s="93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1"/>
      <c r="AL645" s="1"/>
      <c r="AM645" s="1"/>
      <c r="AN645" s="94"/>
      <c r="AO645" s="1"/>
      <c r="AP645" s="1"/>
      <c r="AQ645" s="1"/>
      <c r="AR645" s="1"/>
      <c r="AS645" s="1"/>
      <c r="AT645" s="1"/>
      <c r="AU645" s="1"/>
    </row>
    <row r="646" ht="10.5" customHeight="1">
      <c r="A646" s="1"/>
      <c r="B646" s="2"/>
      <c r="C646" s="1"/>
      <c r="D646" s="1"/>
      <c r="E646" s="1"/>
      <c r="F646" s="9"/>
      <c r="G646" s="9"/>
      <c r="H646" s="9"/>
      <c r="I646" s="9"/>
      <c r="J646" s="93"/>
      <c r="K646" s="9"/>
      <c r="L646" s="9"/>
      <c r="M646" s="9"/>
      <c r="N646" s="9"/>
      <c r="O646" s="9"/>
      <c r="P646" s="9"/>
      <c r="Q646" s="93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1"/>
      <c r="AL646" s="1"/>
      <c r="AM646" s="1"/>
      <c r="AN646" s="94"/>
      <c r="AO646" s="1"/>
      <c r="AP646" s="1"/>
      <c r="AQ646" s="1"/>
      <c r="AR646" s="1"/>
      <c r="AS646" s="1"/>
      <c r="AT646" s="1"/>
      <c r="AU646" s="1"/>
    </row>
    <row r="647" ht="10.5" customHeight="1">
      <c r="A647" s="1"/>
      <c r="B647" s="2"/>
      <c r="C647" s="1"/>
      <c r="D647" s="1"/>
      <c r="E647" s="1"/>
      <c r="F647" s="9"/>
      <c r="G647" s="9"/>
      <c r="H647" s="9"/>
      <c r="I647" s="9"/>
      <c r="J647" s="93"/>
      <c r="K647" s="9"/>
      <c r="L647" s="9"/>
      <c r="M647" s="9"/>
      <c r="N647" s="9"/>
      <c r="O647" s="9"/>
      <c r="P647" s="9"/>
      <c r="Q647" s="93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1"/>
      <c r="AL647" s="1"/>
      <c r="AM647" s="1"/>
      <c r="AN647" s="94"/>
      <c r="AO647" s="1"/>
      <c r="AP647" s="1"/>
      <c r="AQ647" s="1"/>
      <c r="AR647" s="1"/>
      <c r="AS647" s="1"/>
      <c r="AT647" s="1"/>
      <c r="AU647" s="1"/>
    </row>
    <row r="648" ht="10.5" customHeight="1">
      <c r="A648" s="1"/>
      <c r="B648" s="2"/>
      <c r="C648" s="1"/>
      <c r="D648" s="1"/>
      <c r="E648" s="1"/>
      <c r="F648" s="9"/>
      <c r="G648" s="9"/>
      <c r="H648" s="9"/>
      <c r="I648" s="9"/>
      <c r="J648" s="93"/>
      <c r="K648" s="9"/>
      <c r="L648" s="9"/>
      <c r="M648" s="9"/>
      <c r="N648" s="9"/>
      <c r="O648" s="9"/>
      <c r="P648" s="9"/>
      <c r="Q648" s="93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1"/>
      <c r="AL648" s="1"/>
      <c r="AM648" s="1"/>
      <c r="AN648" s="94"/>
      <c r="AO648" s="1"/>
      <c r="AP648" s="1"/>
      <c r="AQ648" s="1"/>
      <c r="AR648" s="1"/>
      <c r="AS648" s="1"/>
      <c r="AT648" s="1"/>
      <c r="AU648" s="1"/>
    </row>
    <row r="649" ht="10.5" customHeight="1">
      <c r="A649" s="1"/>
      <c r="B649" s="2"/>
      <c r="C649" s="1"/>
      <c r="D649" s="1"/>
      <c r="E649" s="1"/>
      <c r="F649" s="9"/>
      <c r="G649" s="9"/>
      <c r="H649" s="9"/>
      <c r="I649" s="9"/>
      <c r="J649" s="93"/>
      <c r="K649" s="9"/>
      <c r="L649" s="9"/>
      <c r="M649" s="9"/>
      <c r="N649" s="9"/>
      <c r="O649" s="9"/>
      <c r="P649" s="9"/>
      <c r="Q649" s="93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1"/>
      <c r="AL649" s="1"/>
      <c r="AM649" s="1"/>
      <c r="AN649" s="94"/>
      <c r="AO649" s="1"/>
      <c r="AP649" s="1"/>
      <c r="AQ649" s="1"/>
      <c r="AR649" s="1"/>
      <c r="AS649" s="1"/>
      <c r="AT649" s="1"/>
      <c r="AU649" s="1"/>
    </row>
    <row r="650" ht="10.5" customHeight="1">
      <c r="A650" s="1"/>
      <c r="B650" s="2"/>
      <c r="C650" s="1"/>
      <c r="D650" s="1"/>
      <c r="E650" s="1"/>
      <c r="F650" s="9"/>
      <c r="G650" s="9"/>
      <c r="H650" s="9"/>
      <c r="I650" s="9"/>
      <c r="J650" s="93"/>
      <c r="K650" s="9"/>
      <c r="L650" s="9"/>
      <c r="M650" s="9"/>
      <c r="N650" s="9"/>
      <c r="O650" s="9"/>
      <c r="P650" s="9"/>
      <c r="Q650" s="93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1"/>
      <c r="AL650" s="1"/>
      <c r="AM650" s="1"/>
      <c r="AN650" s="94"/>
      <c r="AO650" s="1"/>
      <c r="AP650" s="1"/>
      <c r="AQ650" s="1"/>
      <c r="AR650" s="1"/>
      <c r="AS650" s="1"/>
      <c r="AT650" s="1"/>
      <c r="AU650" s="1"/>
    </row>
    <row r="651" ht="10.5" customHeight="1">
      <c r="A651" s="1"/>
      <c r="B651" s="2"/>
      <c r="C651" s="1"/>
      <c r="D651" s="1"/>
      <c r="E651" s="1"/>
      <c r="F651" s="9"/>
      <c r="G651" s="9"/>
      <c r="H651" s="9"/>
      <c r="I651" s="9"/>
      <c r="J651" s="93"/>
      <c r="K651" s="9"/>
      <c r="L651" s="9"/>
      <c r="M651" s="9"/>
      <c r="N651" s="9"/>
      <c r="O651" s="9"/>
      <c r="P651" s="9"/>
      <c r="Q651" s="93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1"/>
      <c r="AL651" s="1"/>
      <c r="AM651" s="1"/>
      <c r="AN651" s="94"/>
      <c r="AO651" s="1"/>
      <c r="AP651" s="1"/>
      <c r="AQ651" s="1"/>
      <c r="AR651" s="1"/>
      <c r="AS651" s="1"/>
      <c r="AT651" s="1"/>
      <c r="AU651" s="1"/>
    </row>
    <row r="652" ht="10.5" customHeight="1">
      <c r="A652" s="1"/>
      <c r="B652" s="2"/>
      <c r="C652" s="1"/>
      <c r="D652" s="1"/>
      <c r="E652" s="1"/>
      <c r="F652" s="9"/>
      <c r="G652" s="9"/>
      <c r="H652" s="9"/>
      <c r="I652" s="9"/>
      <c r="J652" s="93"/>
      <c r="K652" s="9"/>
      <c r="L652" s="9"/>
      <c r="M652" s="9"/>
      <c r="N652" s="9"/>
      <c r="O652" s="9"/>
      <c r="P652" s="9"/>
      <c r="Q652" s="93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1"/>
      <c r="AL652" s="1"/>
      <c r="AM652" s="1"/>
      <c r="AN652" s="94"/>
      <c r="AO652" s="1"/>
      <c r="AP652" s="1"/>
      <c r="AQ652" s="1"/>
      <c r="AR652" s="1"/>
      <c r="AS652" s="1"/>
      <c r="AT652" s="1"/>
      <c r="AU652" s="1"/>
    </row>
    <row r="653" ht="10.5" customHeight="1">
      <c r="A653" s="1"/>
      <c r="B653" s="2"/>
      <c r="C653" s="1"/>
      <c r="D653" s="1"/>
      <c r="E653" s="1"/>
      <c r="F653" s="9"/>
      <c r="G653" s="9"/>
      <c r="H653" s="9"/>
      <c r="I653" s="9"/>
      <c r="J653" s="93"/>
      <c r="K653" s="9"/>
      <c r="L653" s="9"/>
      <c r="M653" s="9"/>
      <c r="N653" s="9"/>
      <c r="O653" s="9"/>
      <c r="P653" s="9"/>
      <c r="Q653" s="93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1"/>
      <c r="AL653" s="1"/>
      <c r="AM653" s="1"/>
      <c r="AN653" s="94"/>
      <c r="AO653" s="1"/>
      <c r="AP653" s="1"/>
      <c r="AQ653" s="1"/>
      <c r="AR653" s="1"/>
      <c r="AS653" s="1"/>
      <c r="AT653" s="1"/>
      <c r="AU653" s="1"/>
    </row>
    <row r="654" ht="10.5" customHeight="1">
      <c r="A654" s="1"/>
      <c r="B654" s="2"/>
      <c r="C654" s="1"/>
      <c r="D654" s="1"/>
      <c r="E654" s="1"/>
      <c r="F654" s="9"/>
      <c r="G654" s="9"/>
      <c r="H654" s="9"/>
      <c r="I654" s="9"/>
      <c r="J654" s="93"/>
      <c r="K654" s="9"/>
      <c r="L654" s="9"/>
      <c r="M654" s="9"/>
      <c r="N654" s="9"/>
      <c r="O654" s="9"/>
      <c r="P654" s="9"/>
      <c r="Q654" s="93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1"/>
      <c r="AL654" s="1"/>
      <c r="AM654" s="1"/>
      <c r="AN654" s="94"/>
      <c r="AO654" s="1"/>
      <c r="AP654" s="1"/>
      <c r="AQ654" s="1"/>
      <c r="AR654" s="1"/>
      <c r="AS654" s="1"/>
      <c r="AT654" s="1"/>
      <c r="AU654" s="1"/>
    </row>
    <row r="655" ht="10.5" customHeight="1">
      <c r="A655" s="1"/>
      <c r="B655" s="2"/>
      <c r="C655" s="1"/>
      <c r="D655" s="1"/>
      <c r="E655" s="1"/>
      <c r="F655" s="9"/>
      <c r="G655" s="9"/>
      <c r="H655" s="9"/>
      <c r="I655" s="9"/>
      <c r="J655" s="93"/>
      <c r="K655" s="9"/>
      <c r="L655" s="9"/>
      <c r="M655" s="9"/>
      <c r="N655" s="9"/>
      <c r="O655" s="9"/>
      <c r="P655" s="9"/>
      <c r="Q655" s="93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1"/>
      <c r="AL655" s="1"/>
      <c r="AM655" s="1"/>
      <c r="AN655" s="94"/>
      <c r="AO655" s="1"/>
      <c r="AP655" s="1"/>
      <c r="AQ655" s="1"/>
      <c r="AR655" s="1"/>
      <c r="AS655" s="1"/>
      <c r="AT655" s="1"/>
      <c r="AU655" s="1"/>
    </row>
    <row r="656" ht="10.5" customHeight="1">
      <c r="A656" s="1"/>
      <c r="B656" s="2"/>
      <c r="C656" s="1"/>
      <c r="D656" s="1"/>
      <c r="E656" s="1"/>
      <c r="F656" s="9"/>
      <c r="G656" s="9"/>
      <c r="H656" s="9"/>
      <c r="I656" s="9"/>
      <c r="J656" s="93"/>
      <c r="K656" s="9"/>
      <c r="L656" s="9"/>
      <c r="M656" s="9"/>
      <c r="N656" s="9"/>
      <c r="O656" s="9"/>
      <c r="P656" s="9"/>
      <c r="Q656" s="93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1"/>
      <c r="AL656" s="1"/>
      <c r="AM656" s="1"/>
      <c r="AN656" s="94"/>
      <c r="AO656" s="1"/>
      <c r="AP656" s="1"/>
      <c r="AQ656" s="1"/>
      <c r="AR656" s="1"/>
      <c r="AS656" s="1"/>
      <c r="AT656" s="1"/>
      <c r="AU656" s="1"/>
    </row>
    <row r="657" ht="10.5" customHeight="1">
      <c r="A657" s="1"/>
      <c r="B657" s="2"/>
      <c r="C657" s="1"/>
      <c r="D657" s="1"/>
      <c r="E657" s="1"/>
      <c r="F657" s="9"/>
      <c r="G657" s="9"/>
      <c r="H657" s="9"/>
      <c r="I657" s="9"/>
      <c r="J657" s="93"/>
      <c r="K657" s="9"/>
      <c r="L657" s="9"/>
      <c r="M657" s="9"/>
      <c r="N657" s="9"/>
      <c r="O657" s="9"/>
      <c r="P657" s="9"/>
      <c r="Q657" s="93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1"/>
      <c r="AL657" s="1"/>
      <c r="AM657" s="1"/>
      <c r="AN657" s="94"/>
      <c r="AO657" s="1"/>
      <c r="AP657" s="1"/>
      <c r="AQ657" s="1"/>
      <c r="AR657" s="1"/>
      <c r="AS657" s="1"/>
      <c r="AT657" s="1"/>
      <c r="AU657" s="1"/>
    </row>
    <row r="658" ht="10.5" customHeight="1">
      <c r="A658" s="1"/>
      <c r="B658" s="2"/>
      <c r="C658" s="1"/>
      <c r="D658" s="1"/>
      <c r="E658" s="1"/>
      <c r="F658" s="9"/>
      <c r="G658" s="9"/>
      <c r="H658" s="9"/>
      <c r="I658" s="9"/>
      <c r="J658" s="93"/>
      <c r="K658" s="9"/>
      <c r="L658" s="9"/>
      <c r="M658" s="9"/>
      <c r="N658" s="9"/>
      <c r="O658" s="9"/>
      <c r="P658" s="9"/>
      <c r="Q658" s="93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1"/>
      <c r="AL658" s="1"/>
      <c r="AM658" s="1"/>
      <c r="AN658" s="94"/>
      <c r="AO658" s="1"/>
      <c r="AP658" s="1"/>
      <c r="AQ658" s="1"/>
      <c r="AR658" s="1"/>
      <c r="AS658" s="1"/>
      <c r="AT658" s="1"/>
      <c r="AU658" s="1"/>
    </row>
    <row r="659" ht="10.5" customHeight="1">
      <c r="A659" s="1"/>
      <c r="B659" s="2"/>
      <c r="C659" s="1"/>
      <c r="D659" s="1"/>
      <c r="E659" s="1"/>
      <c r="F659" s="9"/>
      <c r="G659" s="9"/>
      <c r="H659" s="9"/>
      <c r="I659" s="9"/>
      <c r="J659" s="93"/>
      <c r="K659" s="9"/>
      <c r="L659" s="9"/>
      <c r="M659" s="9"/>
      <c r="N659" s="9"/>
      <c r="O659" s="9"/>
      <c r="P659" s="9"/>
      <c r="Q659" s="93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1"/>
      <c r="AL659" s="1"/>
      <c r="AM659" s="1"/>
      <c r="AN659" s="94"/>
      <c r="AO659" s="1"/>
      <c r="AP659" s="1"/>
      <c r="AQ659" s="1"/>
      <c r="AR659" s="1"/>
      <c r="AS659" s="1"/>
      <c r="AT659" s="1"/>
      <c r="AU659" s="1"/>
    </row>
    <row r="660" ht="10.5" customHeight="1">
      <c r="A660" s="1"/>
      <c r="B660" s="2"/>
      <c r="C660" s="1"/>
      <c r="D660" s="1"/>
      <c r="E660" s="1"/>
      <c r="F660" s="9"/>
      <c r="G660" s="9"/>
      <c r="H660" s="9"/>
      <c r="I660" s="9"/>
      <c r="J660" s="93"/>
      <c r="K660" s="9"/>
      <c r="L660" s="9"/>
      <c r="M660" s="9"/>
      <c r="N660" s="9"/>
      <c r="O660" s="9"/>
      <c r="P660" s="9"/>
      <c r="Q660" s="93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1"/>
      <c r="AL660" s="1"/>
      <c r="AM660" s="1"/>
      <c r="AN660" s="94"/>
      <c r="AO660" s="1"/>
      <c r="AP660" s="1"/>
      <c r="AQ660" s="1"/>
      <c r="AR660" s="1"/>
      <c r="AS660" s="1"/>
      <c r="AT660" s="1"/>
      <c r="AU660" s="1"/>
    </row>
    <row r="661" ht="10.5" customHeight="1">
      <c r="A661" s="1"/>
      <c r="B661" s="2"/>
      <c r="C661" s="1"/>
      <c r="D661" s="1"/>
      <c r="E661" s="1"/>
      <c r="F661" s="9"/>
      <c r="G661" s="9"/>
      <c r="H661" s="9"/>
      <c r="I661" s="9"/>
      <c r="J661" s="93"/>
      <c r="K661" s="9"/>
      <c r="L661" s="9"/>
      <c r="M661" s="9"/>
      <c r="N661" s="9"/>
      <c r="O661" s="9"/>
      <c r="P661" s="9"/>
      <c r="Q661" s="93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1"/>
      <c r="AL661" s="1"/>
      <c r="AM661" s="1"/>
      <c r="AN661" s="94"/>
      <c r="AO661" s="1"/>
      <c r="AP661" s="1"/>
      <c r="AQ661" s="1"/>
      <c r="AR661" s="1"/>
      <c r="AS661" s="1"/>
      <c r="AT661" s="1"/>
      <c r="AU661" s="1"/>
    </row>
    <row r="662" ht="10.5" customHeight="1">
      <c r="A662" s="1"/>
      <c r="B662" s="2"/>
      <c r="C662" s="1"/>
      <c r="D662" s="1"/>
      <c r="E662" s="1"/>
      <c r="F662" s="9"/>
      <c r="G662" s="9"/>
      <c r="H662" s="9"/>
      <c r="I662" s="9"/>
      <c r="J662" s="93"/>
      <c r="K662" s="9"/>
      <c r="L662" s="9"/>
      <c r="M662" s="9"/>
      <c r="N662" s="9"/>
      <c r="O662" s="9"/>
      <c r="P662" s="9"/>
      <c r="Q662" s="93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1"/>
      <c r="AL662" s="1"/>
      <c r="AM662" s="1"/>
      <c r="AN662" s="94"/>
      <c r="AO662" s="1"/>
      <c r="AP662" s="1"/>
      <c r="AQ662" s="1"/>
      <c r="AR662" s="1"/>
      <c r="AS662" s="1"/>
      <c r="AT662" s="1"/>
      <c r="AU662" s="1"/>
    </row>
    <row r="663" ht="10.5" customHeight="1">
      <c r="A663" s="1"/>
      <c r="B663" s="2"/>
      <c r="C663" s="1"/>
      <c r="D663" s="1"/>
      <c r="E663" s="1"/>
      <c r="F663" s="9"/>
      <c r="G663" s="9"/>
      <c r="H663" s="9"/>
      <c r="I663" s="9"/>
      <c r="J663" s="93"/>
      <c r="K663" s="9"/>
      <c r="L663" s="9"/>
      <c r="M663" s="9"/>
      <c r="N663" s="9"/>
      <c r="O663" s="9"/>
      <c r="P663" s="9"/>
      <c r="Q663" s="93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1"/>
      <c r="AL663" s="1"/>
      <c r="AM663" s="1"/>
      <c r="AN663" s="94"/>
      <c r="AO663" s="1"/>
      <c r="AP663" s="1"/>
      <c r="AQ663" s="1"/>
      <c r="AR663" s="1"/>
      <c r="AS663" s="1"/>
      <c r="AT663" s="1"/>
      <c r="AU663" s="1"/>
    </row>
    <row r="664" ht="10.5" customHeight="1">
      <c r="A664" s="1"/>
      <c r="B664" s="2"/>
      <c r="C664" s="1"/>
      <c r="D664" s="1"/>
      <c r="E664" s="1"/>
      <c r="F664" s="9"/>
      <c r="G664" s="9"/>
      <c r="H664" s="9"/>
      <c r="I664" s="9"/>
      <c r="J664" s="93"/>
      <c r="K664" s="9"/>
      <c r="L664" s="9"/>
      <c r="M664" s="9"/>
      <c r="N664" s="9"/>
      <c r="O664" s="9"/>
      <c r="P664" s="9"/>
      <c r="Q664" s="93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1"/>
      <c r="AL664" s="1"/>
      <c r="AM664" s="1"/>
      <c r="AN664" s="94"/>
      <c r="AO664" s="1"/>
      <c r="AP664" s="1"/>
      <c r="AQ664" s="1"/>
      <c r="AR664" s="1"/>
      <c r="AS664" s="1"/>
      <c r="AT664" s="1"/>
      <c r="AU664" s="1"/>
    </row>
    <row r="665" ht="10.5" customHeight="1">
      <c r="A665" s="1"/>
      <c r="B665" s="2"/>
      <c r="C665" s="1"/>
      <c r="D665" s="1"/>
      <c r="E665" s="1"/>
      <c r="F665" s="9"/>
      <c r="G665" s="9"/>
      <c r="H665" s="9"/>
      <c r="I665" s="9"/>
      <c r="J665" s="93"/>
      <c r="K665" s="9"/>
      <c r="L665" s="9"/>
      <c r="M665" s="9"/>
      <c r="N665" s="9"/>
      <c r="O665" s="9"/>
      <c r="P665" s="9"/>
      <c r="Q665" s="93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1"/>
      <c r="AL665" s="1"/>
      <c r="AM665" s="1"/>
      <c r="AN665" s="94"/>
      <c r="AO665" s="1"/>
      <c r="AP665" s="1"/>
      <c r="AQ665" s="1"/>
      <c r="AR665" s="1"/>
      <c r="AS665" s="1"/>
      <c r="AT665" s="1"/>
      <c r="AU665" s="1"/>
    </row>
    <row r="666" ht="10.5" customHeight="1">
      <c r="A666" s="1"/>
      <c r="B666" s="2"/>
      <c r="C666" s="1"/>
      <c r="D666" s="1"/>
      <c r="E666" s="1"/>
      <c r="F666" s="9"/>
      <c r="G666" s="9"/>
      <c r="H666" s="9"/>
      <c r="I666" s="9"/>
      <c r="J666" s="93"/>
      <c r="K666" s="9"/>
      <c r="L666" s="9"/>
      <c r="M666" s="9"/>
      <c r="N666" s="9"/>
      <c r="O666" s="9"/>
      <c r="P666" s="9"/>
      <c r="Q666" s="93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1"/>
      <c r="AL666" s="1"/>
      <c r="AM666" s="1"/>
      <c r="AN666" s="94"/>
      <c r="AO666" s="1"/>
      <c r="AP666" s="1"/>
      <c r="AQ666" s="1"/>
      <c r="AR666" s="1"/>
      <c r="AS666" s="1"/>
      <c r="AT666" s="1"/>
      <c r="AU666" s="1"/>
    </row>
    <row r="667" ht="10.5" customHeight="1">
      <c r="A667" s="1"/>
      <c r="B667" s="2"/>
      <c r="C667" s="1"/>
      <c r="D667" s="1"/>
      <c r="E667" s="1"/>
      <c r="F667" s="9"/>
      <c r="G667" s="9"/>
      <c r="H667" s="9"/>
      <c r="I667" s="9"/>
      <c r="J667" s="93"/>
      <c r="K667" s="9"/>
      <c r="L667" s="9"/>
      <c r="M667" s="9"/>
      <c r="N667" s="9"/>
      <c r="O667" s="9"/>
      <c r="P667" s="9"/>
      <c r="Q667" s="93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1"/>
      <c r="AL667" s="1"/>
      <c r="AM667" s="1"/>
      <c r="AN667" s="94"/>
      <c r="AO667" s="1"/>
      <c r="AP667" s="1"/>
      <c r="AQ667" s="1"/>
      <c r="AR667" s="1"/>
      <c r="AS667" s="1"/>
      <c r="AT667" s="1"/>
      <c r="AU667" s="1"/>
    </row>
    <row r="668" ht="10.5" customHeight="1">
      <c r="A668" s="1"/>
      <c r="B668" s="2"/>
      <c r="C668" s="1"/>
      <c r="D668" s="1"/>
      <c r="E668" s="1"/>
      <c r="F668" s="9"/>
      <c r="G668" s="9"/>
      <c r="H668" s="9"/>
      <c r="I668" s="9"/>
      <c r="J668" s="93"/>
      <c r="K668" s="9"/>
      <c r="L668" s="9"/>
      <c r="M668" s="9"/>
      <c r="N668" s="9"/>
      <c r="O668" s="9"/>
      <c r="P668" s="9"/>
      <c r="Q668" s="93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1"/>
      <c r="AL668" s="1"/>
      <c r="AM668" s="1"/>
      <c r="AN668" s="94"/>
      <c r="AO668" s="1"/>
      <c r="AP668" s="1"/>
      <c r="AQ668" s="1"/>
      <c r="AR668" s="1"/>
      <c r="AS668" s="1"/>
      <c r="AT668" s="1"/>
      <c r="AU668" s="1"/>
    </row>
    <row r="669" ht="10.5" customHeight="1">
      <c r="A669" s="1"/>
      <c r="B669" s="2"/>
      <c r="C669" s="1"/>
      <c r="D669" s="1"/>
      <c r="E669" s="1"/>
      <c r="F669" s="9"/>
      <c r="G669" s="9"/>
      <c r="H669" s="9"/>
      <c r="I669" s="9"/>
      <c r="J669" s="93"/>
      <c r="K669" s="9"/>
      <c r="L669" s="9"/>
      <c r="M669" s="9"/>
      <c r="N669" s="9"/>
      <c r="O669" s="9"/>
      <c r="P669" s="9"/>
      <c r="Q669" s="93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1"/>
      <c r="AL669" s="1"/>
      <c r="AM669" s="1"/>
      <c r="AN669" s="94"/>
      <c r="AO669" s="1"/>
      <c r="AP669" s="1"/>
      <c r="AQ669" s="1"/>
      <c r="AR669" s="1"/>
      <c r="AS669" s="1"/>
      <c r="AT669" s="1"/>
      <c r="AU669" s="1"/>
    </row>
    <row r="670" ht="10.5" customHeight="1">
      <c r="A670" s="1"/>
      <c r="B670" s="2"/>
      <c r="C670" s="1"/>
      <c r="D670" s="1"/>
      <c r="E670" s="1"/>
      <c r="F670" s="9"/>
      <c r="G670" s="9"/>
      <c r="H670" s="9"/>
      <c r="I670" s="9"/>
      <c r="J670" s="93"/>
      <c r="K670" s="9"/>
      <c r="L670" s="9"/>
      <c r="M670" s="9"/>
      <c r="N670" s="9"/>
      <c r="O670" s="9"/>
      <c r="P670" s="9"/>
      <c r="Q670" s="93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1"/>
      <c r="AL670" s="1"/>
      <c r="AM670" s="1"/>
      <c r="AN670" s="94"/>
      <c r="AO670" s="1"/>
      <c r="AP670" s="1"/>
      <c r="AQ670" s="1"/>
      <c r="AR670" s="1"/>
      <c r="AS670" s="1"/>
      <c r="AT670" s="1"/>
      <c r="AU670" s="1"/>
    </row>
    <row r="671" ht="10.5" customHeight="1">
      <c r="A671" s="1"/>
      <c r="B671" s="2"/>
      <c r="C671" s="1"/>
      <c r="D671" s="1"/>
      <c r="E671" s="1"/>
      <c r="F671" s="9"/>
      <c r="G671" s="9"/>
      <c r="H671" s="9"/>
      <c r="I671" s="9"/>
      <c r="J671" s="93"/>
      <c r="K671" s="9"/>
      <c r="L671" s="9"/>
      <c r="M671" s="9"/>
      <c r="N671" s="9"/>
      <c r="O671" s="9"/>
      <c r="P671" s="9"/>
      <c r="Q671" s="93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1"/>
      <c r="AL671" s="1"/>
      <c r="AM671" s="1"/>
      <c r="AN671" s="94"/>
      <c r="AO671" s="1"/>
      <c r="AP671" s="1"/>
      <c r="AQ671" s="1"/>
      <c r="AR671" s="1"/>
      <c r="AS671" s="1"/>
      <c r="AT671" s="1"/>
      <c r="AU671" s="1"/>
    </row>
    <row r="672" ht="10.5" customHeight="1">
      <c r="A672" s="1"/>
      <c r="B672" s="2"/>
      <c r="C672" s="1"/>
      <c r="D672" s="1"/>
      <c r="E672" s="1"/>
      <c r="F672" s="9"/>
      <c r="G672" s="9"/>
      <c r="H672" s="9"/>
      <c r="I672" s="9"/>
      <c r="J672" s="93"/>
      <c r="K672" s="9"/>
      <c r="L672" s="9"/>
      <c r="M672" s="9"/>
      <c r="N672" s="9"/>
      <c r="O672" s="9"/>
      <c r="P672" s="9"/>
      <c r="Q672" s="93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1"/>
      <c r="AL672" s="1"/>
      <c r="AM672" s="1"/>
      <c r="AN672" s="94"/>
      <c r="AO672" s="1"/>
      <c r="AP672" s="1"/>
      <c r="AQ672" s="1"/>
      <c r="AR672" s="1"/>
      <c r="AS672" s="1"/>
      <c r="AT672" s="1"/>
      <c r="AU672" s="1"/>
    </row>
    <row r="673" ht="10.5" customHeight="1">
      <c r="A673" s="1"/>
      <c r="B673" s="2"/>
      <c r="C673" s="1"/>
      <c r="D673" s="1"/>
      <c r="E673" s="1"/>
      <c r="F673" s="9"/>
      <c r="G673" s="9"/>
      <c r="H673" s="9"/>
      <c r="I673" s="9"/>
      <c r="J673" s="93"/>
      <c r="K673" s="9"/>
      <c r="L673" s="9"/>
      <c r="M673" s="9"/>
      <c r="N673" s="9"/>
      <c r="O673" s="9"/>
      <c r="P673" s="9"/>
      <c r="Q673" s="93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1"/>
      <c r="AL673" s="1"/>
      <c r="AM673" s="1"/>
      <c r="AN673" s="94"/>
      <c r="AO673" s="1"/>
      <c r="AP673" s="1"/>
      <c r="AQ673" s="1"/>
      <c r="AR673" s="1"/>
      <c r="AS673" s="1"/>
      <c r="AT673" s="1"/>
      <c r="AU673" s="1"/>
    </row>
    <row r="674" ht="10.5" customHeight="1">
      <c r="A674" s="1"/>
      <c r="B674" s="2"/>
      <c r="C674" s="1"/>
      <c r="D674" s="1"/>
      <c r="E674" s="1"/>
      <c r="F674" s="9"/>
      <c r="G674" s="9"/>
      <c r="H674" s="9"/>
      <c r="I674" s="9"/>
      <c r="J674" s="93"/>
      <c r="K674" s="9"/>
      <c r="L674" s="9"/>
      <c r="M674" s="9"/>
      <c r="N674" s="9"/>
      <c r="O674" s="9"/>
      <c r="P674" s="9"/>
      <c r="Q674" s="93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1"/>
      <c r="AL674" s="1"/>
      <c r="AM674" s="1"/>
      <c r="AN674" s="94"/>
      <c r="AO674" s="1"/>
      <c r="AP674" s="1"/>
      <c r="AQ674" s="1"/>
      <c r="AR674" s="1"/>
      <c r="AS674" s="1"/>
      <c r="AT674" s="1"/>
      <c r="AU674" s="1"/>
    </row>
    <row r="675" ht="10.5" customHeight="1">
      <c r="A675" s="1"/>
      <c r="B675" s="2"/>
      <c r="C675" s="1"/>
      <c r="D675" s="1"/>
      <c r="E675" s="1"/>
      <c r="F675" s="9"/>
      <c r="G675" s="9"/>
      <c r="H675" s="9"/>
      <c r="I675" s="9"/>
      <c r="J675" s="93"/>
      <c r="K675" s="9"/>
      <c r="L675" s="9"/>
      <c r="M675" s="9"/>
      <c r="N675" s="9"/>
      <c r="O675" s="9"/>
      <c r="P675" s="9"/>
      <c r="Q675" s="93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1"/>
      <c r="AL675" s="1"/>
      <c r="AM675" s="1"/>
      <c r="AN675" s="94"/>
      <c r="AO675" s="1"/>
      <c r="AP675" s="1"/>
      <c r="AQ675" s="1"/>
      <c r="AR675" s="1"/>
      <c r="AS675" s="1"/>
      <c r="AT675" s="1"/>
      <c r="AU675" s="1"/>
    </row>
    <row r="676" ht="10.5" customHeight="1">
      <c r="A676" s="1"/>
      <c r="B676" s="2"/>
      <c r="C676" s="1"/>
      <c r="D676" s="1"/>
      <c r="E676" s="1"/>
      <c r="F676" s="9"/>
      <c r="G676" s="9"/>
      <c r="H676" s="9"/>
      <c r="I676" s="9"/>
      <c r="J676" s="93"/>
      <c r="K676" s="9"/>
      <c r="L676" s="9"/>
      <c r="M676" s="9"/>
      <c r="N676" s="9"/>
      <c r="O676" s="9"/>
      <c r="P676" s="9"/>
      <c r="Q676" s="93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1"/>
      <c r="AL676" s="1"/>
      <c r="AM676" s="1"/>
      <c r="AN676" s="94"/>
      <c r="AO676" s="1"/>
      <c r="AP676" s="1"/>
      <c r="AQ676" s="1"/>
      <c r="AR676" s="1"/>
      <c r="AS676" s="1"/>
      <c r="AT676" s="1"/>
      <c r="AU676" s="1"/>
    </row>
    <row r="677" ht="10.5" customHeight="1">
      <c r="A677" s="1"/>
      <c r="B677" s="2"/>
      <c r="C677" s="1"/>
      <c r="D677" s="1"/>
      <c r="E677" s="1"/>
      <c r="F677" s="9"/>
      <c r="G677" s="9"/>
      <c r="H677" s="9"/>
      <c r="I677" s="9"/>
      <c r="J677" s="93"/>
      <c r="K677" s="9"/>
      <c r="L677" s="9"/>
      <c r="M677" s="9"/>
      <c r="N677" s="9"/>
      <c r="O677" s="9"/>
      <c r="P677" s="9"/>
      <c r="Q677" s="93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1"/>
      <c r="AL677" s="1"/>
      <c r="AM677" s="1"/>
      <c r="AN677" s="94"/>
      <c r="AO677" s="1"/>
      <c r="AP677" s="1"/>
      <c r="AQ677" s="1"/>
      <c r="AR677" s="1"/>
      <c r="AS677" s="1"/>
      <c r="AT677" s="1"/>
      <c r="AU677" s="1"/>
    </row>
    <row r="678" ht="10.5" customHeight="1">
      <c r="A678" s="1"/>
      <c r="B678" s="2"/>
      <c r="C678" s="1"/>
      <c r="D678" s="1"/>
      <c r="E678" s="1"/>
      <c r="F678" s="9"/>
      <c r="G678" s="9"/>
      <c r="H678" s="9"/>
      <c r="I678" s="9"/>
      <c r="J678" s="93"/>
      <c r="K678" s="9"/>
      <c r="L678" s="9"/>
      <c r="M678" s="9"/>
      <c r="N678" s="9"/>
      <c r="O678" s="9"/>
      <c r="P678" s="9"/>
      <c r="Q678" s="93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1"/>
      <c r="AL678" s="1"/>
      <c r="AM678" s="1"/>
      <c r="AN678" s="94"/>
      <c r="AO678" s="1"/>
      <c r="AP678" s="1"/>
      <c r="AQ678" s="1"/>
      <c r="AR678" s="1"/>
      <c r="AS678" s="1"/>
      <c r="AT678" s="1"/>
      <c r="AU678" s="1"/>
    </row>
    <row r="679" ht="10.5" customHeight="1">
      <c r="A679" s="1"/>
      <c r="B679" s="2"/>
      <c r="C679" s="1"/>
      <c r="D679" s="1"/>
      <c r="E679" s="1"/>
      <c r="F679" s="9"/>
      <c r="G679" s="9"/>
      <c r="H679" s="9"/>
      <c r="I679" s="9"/>
      <c r="J679" s="93"/>
      <c r="K679" s="9"/>
      <c r="L679" s="9"/>
      <c r="M679" s="9"/>
      <c r="N679" s="9"/>
      <c r="O679" s="9"/>
      <c r="P679" s="9"/>
      <c r="Q679" s="93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1"/>
      <c r="AL679" s="1"/>
      <c r="AM679" s="1"/>
      <c r="AN679" s="94"/>
      <c r="AO679" s="1"/>
      <c r="AP679" s="1"/>
      <c r="AQ679" s="1"/>
      <c r="AR679" s="1"/>
      <c r="AS679" s="1"/>
      <c r="AT679" s="1"/>
      <c r="AU679" s="1"/>
    </row>
    <row r="680" ht="10.5" customHeight="1">
      <c r="A680" s="1"/>
      <c r="B680" s="2"/>
      <c r="C680" s="1"/>
      <c r="D680" s="1"/>
      <c r="E680" s="1"/>
      <c r="F680" s="9"/>
      <c r="G680" s="9"/>
      <c r="H680" s="9"/>
      <c r="I680" s="9"/>
      <c r="J680" s="93"/>
      <c r="K680" s="9"/>
      <c r="L680" s="9"/>
      <c r="M680" s="9"/>
      <c r="N680" s="9"/>
      <c r="O680" s="9"/>
      <c r="P680" s="9"/>
      <c r="Q680" s="93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1"/>
      <c r="AL680" s="1"/>
      <c r="AM680" s="1"/>
      <c r="AN680" s="94"/>
      <c r="AO680" s="1"/>
      <c r="AP680" s="1"/>
      <c r="AQ680" s="1"/>
      <c r="AR680" s="1"/>
      <c r="AS680" s="1"/>
      <c r="AT680" s="1"/>
      <c r="AU680" s="1"/>
    </row>
    <row r="681" ht="10.5" customHeight="1">
      <c r="A681" s="1"/>
      <c r="B681" s="2"/>
      <c r="C681" s="1"/>
      <c r="D681" s="1"/>
      <c r="E681" s="1"/>
      <c r="F681" s="9"/>
      <c r="G681" s="9"/>
      <c r="H681" s="9"/>
      <c r="I681" s="9"/>
      <c r="J681" s="93"/>
      <c r="K681" s="9"/>
      <c r="L681" s="9"/>
      <c r="M681" s="9"/>
      <c r="N681" s="9"/>
      <c r="O681" s="9"/>
      <c r="P681" s="9"/>
      <c r="Q681" s="93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1"/>
      <c r="AL681" s="1"/>
      <c r="AM681" s="1"/>
      <c r="AN681" s="94"/>
      <c r="AO681" s="1"/>
      <c r="AP681" s="1"/>
      <c r="AQ681" s="1"/>
      <c r="AR681" s="1"/>
      <c r="AS681" s="1"/>
      <c r="AT681" s="1"/>
      <c r="AU681" s="1"/>
    </row>
    <row r="682" ht="10.5" customHeight="1">
      <c r="A682" s="1"/>
      <c r="B682" s="2"/>
      <c r="C682" s="1"/>
      <c r="D682" s="1"/>
      <c r="E682" s="1"/>
      <c r="F682" s="9"/>
      <c r="G682" s="9"/>
      <c r="H682" s="9"/>
      <c r="I682" s="9"/>
      <c r="J682" s="93"/>
      <c r="K682" s="9"/>
      <c r="L682" s="9"/>
      <c r="M682" s="9"/>
      <c r="N682" s="9"/>
      <c r="O682" s="9"/>
      <c r="P682" s="9"/>
      <c r="Q682" s="93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1"/>
      <c r="AL682" s="1"/>
      <c r="AM682" s="1"/>
      <c r="AN682" s="94"/>
      <c r="AO682" s="1"/>
      <c r="AP682" s="1"/>
      <c r="AQ682" s="1"/>
      <c r="AR682" s="1"/>
      <c r="AS682" s="1"/>
      <c r="AT682" s="1"/>
      <c r="AU682" s="1"/>
    </row>
    <row r="683" ht="10.5" customHeight="1">
      <c r="A683" s="1"/>
      <c r="B683" s="2"/>
      <c r="C683" s="1"/>
      <c r="D683" s="1"/>
      <c r="E683" s="1"/>
      <c r="F683" s="9"/>
      <c r="G683" s="9"/>
      <c r="H683" s="9"/>
      <c r="I683" s="9"/>
      <c r="J683" s="93"/>
      <c r="K683" s="9"/>
      <c r="L683" s="9"/>
      <c r="M683" s="9"/>
      <c r="N683" s="9"/>
      <c r="O683" s="9"/>
      <c r="P683" s="9"/>
      <c r="Q683" s="93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1"/>
      <c r="AL683" s="1"/>
      <c r="AM683" s="1"/>
      <c r="AN683" s="94"/>
      <c r="AO683" s="1"/>
      <c r="AP683" s="1"/>
      <c r="AQ683" s="1"/>
      <c r="AR683" s="1"/>
      <c r="AS683" s="1"/>
      <c r="AT683" s="1"/>
      <c r="AU683" s="1"/>
    </row>
    <row r="684" ht="10.5" customHeight="1">
      <c r="A684" s="1"/>
      <c r="B684" s="2"/>
      <c r="C684" s="1"/>
      <c r="D684" s="1"/>
      <c r="E684" s="1"/>
      <c r="F684" s="9"/>
      <c r="G684" s="9"/>
      <c r="H684" s="9"/>
      <c r="I684" s="9"/>
      <c r="J684" s="93"/>
      <c r="K684" s="9"/>
      <c r="L684" s="9"/>
      <c r="M684" s="9"/>
      <c r="N684" s="9"/>
      <c r="O684" s="9"/>
      <c r="P684" s="9"/>
      <c r="Q684" s="93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1"/>
      <c r="AL684" s="1"/>
      <c r="AM684" s="1"/>
      <c r="AN684" s="94"/>
      <c r="AO684" s="1"/>
      <c r="AP684" s="1"/>
      <c r="AQ684" s="1"/>
      <c r="AR684" s="1"/>
      <c r="AS684" s="1"/>
      <c r="AT684" s="1"/>
      <c r="AU684" s="1"/>
    </row>
    <row r="685" ht="10.5" customHeight="1">
      <c r="A685" s="1"/>
      <c r="B685" s="2"/>
      <c r="C685" s="1"/>
      <c r="D685" s="1"/>
      <c r="E685" s="1"/>
      <c r="F685" s="9"/>
      <c r="G685" s="9"/>
      <c r="H685" s="9"/>
      <c r="I685" s="9"/>
      <c r="J685" s="93"/>
      <c r="K685" s="9"/>
      <c r="L685" s="9"/>
      <c r="M685" s="9"/>
      <c r="N685" s="9"/>
      <c r="O685" s="9"/>
      <c r="P685" s="9"/>
      <c r="Q685" s="93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1"/>
      <c r="AL685" s="1"/>
      <c r="AM685" s="1"/>
      <c r="AN685" s="94"/>
      <c r="AO685" s="1"/>
      <c r="AP685" s="1"/>
      <c r="AQ685" s="1"/>
      <c r="AR685" s="1"/>
      <c r="AS685" s="1"/>
      <c r="AT685" s="1"/>
      <c r="AU685" s="1"/>
    </row>
    <row r="686" ht="10.5" customHeight="1">
      <c r="A686" s="1"/>
      <c r="B686" s="2"/>
      <c r="C686" s="1"/>
      <c r="D686" s="1"/>
      <c r="E686" s="1"/>
      <c r="F686" s="9"/>
      <c r="G686" s="9"/>
      <c r="H686" s="9"/>
      <c r="I686" s="9"/>
      <c r="J686" s="93"/>
      <c r="K686" s="9"/>
      <c r="L686" s="9"/>
      <c r="M686" s="9"/>
      <c r="N686" s="9"/>
      <c r="O686" s="9"/>
      <c r="P686" s="9"/>
      <c r="Q686" s="93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1"/>
      <c r="AL686" s="1"/>
      <c r="AM686" s="1"/>
      <c r="AN686" s="94"/>
      <c r="AO686" s="1"/>
      <c r="AP686" s="1"/>
      <c r="AQ686" s="1"/>
      <c r="AR686" s="1"/>
      <c r="AS686" s="1"/>
      <c r="AT686" s="1"/>
      <c r="AU686" s="1"/>
    </row>
    <row r="687" ht="10.5" customHeight="1">
      <c r="A687" s="1"/>
      <c r="B687" s="2"/>
      <c r="C687" s="1"/>
      <c r="D687" s="1"/>
      <c r="E687" s="1"/>
      <c r="F687" s="9"/>
      <c r="G687" s="9"/>
      <c r="H687" s="9"/>
      <c r="I687" s="9"/>
      <c r="J687" s="93"/>
      <c r="K687" s="9"/>
      <c r="L687" s="9"/>
      <c r="M687" s="9"/>
      <c r="N687" s="9"/>
      <c r="O687" s="9"/>
      <c r="P687" s="9"/>
      <c r="Q687" s="93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1"/>
      <c r="AL687" s="1"/>
      <c r="AM687" s="1"/>
      <c r="AN687" s="94"/>
      <c r="AO687" s="1"/>
      <c r="AP687" s="1"/>
      <c r="AQ687" s="1"/>
      <c r="AR687" s="1"/>
      <c r="AS687" s="1"/>
      <c r="AT687" s="1"/>
      <c r="AU687" s="1"/>
    </row>
    <row r="688" ht="10.5" customHeight="1">
      <c r="A688" s="1"/>
      <c r="B688" s="2"/>
      <c r="C688" s="1"/>
      <c r="D688" s="1"/>
      <c r="E688" s="1"/>
      <c r="F688" s="9"/>
      <c r="G688" s="9"/>
      <c r="H688" s="9"/>
      <c r="I688" s="9"/>
      <c r="J688" s="93"/>
      <c r="K688" s="9"/>
      <c r="L688" s="9"/>
      <c r="M688" s="9"/>
      <c r="N688" s="9"/>
      <c r="O688" s="9"/>
      <c r="P688" s="9"/>
      <c r="Q688" s="93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1"/>
      <c r="AL688" s="1"/>
      <c r="AM688" s="1"/>
      <c r="AN688" s="94"/>
      <c r="AO688" s="1"/>
      <c r="AP688" s="1"/>
      <c r="AQ688" s="1"/>
      <c r="AR688" s="1"/>
      <c r="AS688" s="1"/>
      <c r="AT688" s="1"/>
      <c r="AU688" s="1"/>
    </row>
    <row r="689" ht="10.5" customHeight="1">
      <c r="A689" s="1"/>
      <c r="B689" s="2"/>
      <c r="C689" s="1"/>
      <c r="D689" s="1"/>
      <c r="E689" s="1"/>
      <c r="F689" s="9"/>
      <c r="G689" s="9"/>
      <c r="H689" s="9"/>
      <c r="I689" s="9"/>
      <c r="J689" s="93"/>
      <c r="K689" s="9"/>
      <c r="L689" s="9"/>
      <c r="M689" s="9"/>
      <c r="N689" s="9"/>
      <c r="O689" s="9"/>
      <c r="P689" s="9"/>
      <c r="Q689" s="93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1"/>
      <c r="AL689" s="1"/>
      <c r="AM689" s="1"/>
      <c r="AN689" s="94"/>
      <c r="AO689" s="1"/>
      <c r="AP689" s="1"/>
      <c r="AQ689" s="1"/>
      <c r="AR689" s="1"/>
      <c r="AS689" s="1"/>
      <c r="AT689" s="1"/>
      <c r="AU689" s="1"/>
    </row>
    <row r="690" ht="10.5" customHeight="1">
      <c r="A690" s="1"/>
      <c r="B690" s="2"/>
      <c r="C690" s="1"/>
      <c r="D690" s="1"/>
      <c r="E690" s="1"/>
      <c r="F690" s="9"/>
      <c r="G690" s="9"/>
      <c r="H690" s="9"/>
      <c r="I690" s="9"/>
      <c r="J690" s="93"/>
      <c r="K690" s="9"/>
      <c r="L690" s="9"/>
      <c r="M690" s="9"/>
      <c r="N690" s="9"/>
      <c r="O690" s="9"/>
      <c r="P690" s="9"/>
      <c r="Q690" s="93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1"/>
      <c r="AL690" s="1"/>
      <c r="AM690" s="1"/>
      <c r="AN690" s="94"/>
      <c r="AO690" s="1"/>
      <c r="AP690" s="1"/>
      <c r="AQ690" s="1"/>
      <c r="AR690" s="1"/>
      <c r="AS690" s="1"/>
      <c r="AT690" s="1"/>
      <c r="AU690" s="1"/>
    </row>
    <row r="691" ht="10.5" customHeight="1">
      <c r="A691" s="1"/>
      <c r="B691" s="2"/>
      <c r="C691" s="1"/>
      <c r="D691" s="1"/>
      <c r="E691" s="1"/>
      <c r="F691" s="9"/>
      <c r="G691" s="9"/>
      <c r="H691" s="9"/>
      <c r="I691" s="9"/>
      <c r="J691" s="93"/>
      <c r="K691" s="9"/>
      <c r="L691" s="9"/>
      <c r="M691" s="9"/>
      <c r="N691" s="9"/>
      <c r="O691" s="9"/>
      <c r="P691" s="9"/>
      <c r="Q691" s="93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1"/>
      <c r="AL691" s="1"/>
      <c r="AM691" s="1"/>
      <c r="AN691" s="94"/>
      <c r="AO691" s="1"/>
      <c r="AP691" s="1"/>
      <c r="AQ691" s="1"/>
      <c r="AR691" s="1"/>
      <c r="AS691" s="1"/>
      <c r="AT691" s="1"/>
      <c r="AU691" s="1"/>
    </row>
    <row r="692" ht="10.5" customHeight="1">
      <c r="A692" s="1"/>
      <c r="B692" s="2"/>
      <c r="C692" s="1"/>
      <c r="D692" s="1"/>
      <c r="E692" s="1"/>
      <c r="F692" s="9"/>
      <c r="G692" s="9"/>
      <c r="H692" s="9"/>
      <c r="I692" s="9"/>
      <c r="J692" s="93"/>
      <c r="K692" s="9"/>
      <c r="L692" s="9"/>
      <c r="M692" s="9"/>
      <c r="N692" s="9"/>
      <c r="O692" s="9"/>
      <c r="P692" s="9"/>
      <c r="Q692" s="93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1"/>
      <c r="AL692" s="1"/>
      <c r="AM692" s="1"/>
      <c r="AN692" s="94"/>
      <c r="AO692" s="1"/>
      <c r="AP692" s="1"/>
      <c r="AQ692" s="1"/>
      <c r="AR692" s="1"/>
      <c r="AS692" s="1"/>
      <c r="AT692" s="1"/>
      <c r="AU692" s="1"/>
    </row>
    <row r="693" ht="10.5" customHeight="1">
      <c r="A693" s="1"/>
      <c r="B693" s="2"/>
      <c r="C693" s="1"/>
      <c r="D693" s="1"/>
      <c r="E693" s="1"/>
      <c r="F693" s="9"/>
      <c r="G693" s="9"/>
      <c r="H693" s="9"/>
      <c r="I693" s="9"/>
      <c r="J693" s="93"/>
      <c r="K693" s="9"/>
      <c r="L693" s="9"/>
      <c r="M693" s="9"/>
      <c r="N693" s="9"/>
      <c r="O693" s="9"/>
      <c r="P693" s="9"/>
      <c r="Q693" s="93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1"/>
      <c r="AL693" s="1"/>
      <c r="AM693" s="1"/>
      <c r="AN693" s="94"/>
      <c r="AO693" s="1"/>
      <c r="AP693" s="1"/>
      <c r="AQ693" s="1"/>
      <c r="AR693" s="1"/>
      <c r="AS693" s="1"/>
      <c r="AT693" s="1"/>
      <c r="AU693" s="1"/>
    </row>
    <row r="694" ht="10.5" customHeight="1">
      <c r="A694" s="1"/>
      <c r="B694" s="2"/>
      <c r="C694" s="1"/>
      <c r="D694" s="1"/>
      <c r="E694" s="1"/>
      <c r="F694" s="9"/>
      <c r="G694" s="9"/>
      <c r="H694" s="9"/>
      <c r="I694" s="9"/>
      <c r="J694" s="93"/>
      <c r="K694" s="9"/>
      <c r="L694" s="9"/>
      <c r="M694" s="9"/>
      <c r="N694" s="9"/>
      <c r="O694" s="9"/>
      <c r="P694" s="9"/>
      <c r="Q694" s="93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1"/>
      <c r="AL694" s="1"/>
      <c r="AM694" s="1"/>
      <c r="AN694" s="94"/>
      <c r="AO694" s="1"/>
      <c r="AP694" s="1"/>
      <c r="AQ694" s="1"/>
      <c r="AR694" s="1"/>
      <c r="AS694" s="1"/>
      <c r="AT694" s="1"/>
      <c r="AU694" s="1"/>
    </row>
    <row r="695" ht="10.5" customHeight="1">
      <c r="A695" s="1"/>
      <c r="B695" s="2"/>
      <c r="C695" s="1"/>
      <c r="D695" s="1"/>
      <c r="E695" s="1"/>
      <c r="F695" s="9"/>
      <c r="G695" s="9"/>
      <c r="H695" s="9"/>
      <c r="I695" s="9"/>
      <c r="J695" s="93"/>
      <c r="K695" s="9"/>
      <c r="L695" s="9"/>
      <c r="M695" s="9"/>
      <c r="N695" s="9"/>
      <c r="O695" s="9"/>
      <c r="P695" s="9"/>
      <c r="Q695" s="93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1"/>
      <c r="AL695" s="1"/>
      <c r="AM695" s="1"/>
      <c r="AN695" s="94"/>
      <c r="AO695" s="1"/>
      <c r="AP695" s="1"/>
      <c r="AQ695" s="1"/>
      <c r="AR695" s="1"/>
      <c r="AS695" s="1"/>
      <c r="AT695" s="1"/>
      <c r="AU695" s="1"/>
    </row>
    <row r="696" ht="10.5" customHeight="1">
      <c r="A696" s="1"/>
      <c r="B696" s="2"/>
      <c r="C696" s="1"/>
      <c r="D696" s="1"/>
      <c r="E696" s="1"/>
      <c r="F696" s="9"/>
      <c r="G696" s="9"/>
      <c r="H696" s="9"/>
      <c r="I696" s="9"/>
      <c r="J696" s="93"/>
      <c r="K696" s="9"/>
      <c r="L696" s="9"/>
      <c r="M696" s="9"/>
      <c r="N696" s="9"/>
      <c r="O696" s="9"/>
      <c r="P696" s="9"/>
      <c r="Q696" s="93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1"/>
      <c r="AL696" s="1"/>
      <c r="AM696" s="1"/>
      <c r="AN696" s="94"/>
      <c r="AO696" s="1"/>
      <c r="AP696" s="1"/>
      <c r="AQ696" s="1"/>
      <c r="AR696" s="1"/>
      <c r="AS696" s="1"/>
      <c r="AT696" s="1"/>
      <c r="AU696" s="1"/>
    </row>
    <row r="697" ht="10.5" customHeight="1">
      <c r="A697" s="1"/>
      <c r="B697" s="2"/>
      <c r="C697" s="1"/>
      <c r="D697" s="1"/>
      <c r="E697" s="1"/>
      <c r="F697" s="9"/>
      <c r="G697" s="9"/>
      <c r="H697" s="9"/>
      <c r="I697" s="9"/>
      <c r="J697" s="93"/>
      <c r="K697" s="9"/>
      <c r="L697" s="9"/>
      <c r="M697" s="9"/>
      <c r="N697" s="9"/>
      <c r="O697" s="9"/>
      <c r="P697" s="9"/>
      <c r="Q697" s="93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1"/>
      <c r="AL697" s="1"/>
      <c r="AM697" s="1"/>
      <c r="AN697" s="94"/>
      <c r="AO697" s="1"/>
      <c r="AP697" s="1"/>
      <c r="AQ697" s="1"/>
      <c r="AR697" s="1"/>
      <c r="AS697" s="1"/>
      <c r="AT697" s="1"/>
      <c r="AU697" s="1"/>
    </row>
    <row r="698" ht="10.5" customHeight="1">
      <c r="A698" s="1"/>
      <c r="B698" s="2"/>
      <c r="C698" s="1"/>
      <c r="D698" s="1"/>
      <c r="E698" s="1"/>
      <c r="F698" s="9"/>
      <c r="G698" s="9"/>
      <c r="H698" s="9"/>
      <c r="I698" s="9"/>
      <c r="J698" s="93"/>
      <c r="K698" s="9"/>
      <c r="L698" s="9"/>
      <c r="M698" s="9"/>
      <c r="N698" s="9"/>
      <c r="O698" s="9"/>
      <c r="P698" s="9"/>
      <c r="Q698" s="93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1"/>
      <c r="AL698" s="1"/>
      <c r="AM698" s="1"/>
      <c r="AN698" s="94"/>
      <c r="AO698" s="1"/>
      <c r="AP698" s="1"/>
      <c r="AQ698" s="1"/>
      <c r="AR698" s="1"/>
      <c r="AS698" s="1"/>
      <c r="AT698" s="1"/>
      <c r="AU698" s="1"/>
    </row>
    <row r="699" ht="10.5" customHeight="1">
      <c r="A699" s="1"/>
      <c r="B699" s="2"/>
      <c r="C699" s="1"/>
      <c r="D699" s="1"/>
      <c r="E699" s="1"/>
      <c r="F699" s="9"/>
      <c r="G699" s="9"/>
      <c r="H699" s="9"/>
      <c r="I699" s="9"/>
      <c r="J699" s="93"/>
      <c r="K699" s="9"/>
      <c r="L699" s="9"/>
      <c r="M699" s="9"/>
      <c r="N699" s="9"/>
      <c r="O699" s="9"/>
      <c r="P699" s="9"/>
      <c r="Q699" s="93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1"/>
      <c r="AL699" s="1"/>
      <c r="AM699" s="1"/>
      <c r="AN699" s="94"/>
      <c r="AO699" s="1"/>
      <c r="AP699" s="1"/>
      <c r="AQ699" s="1"/>
      <c r="AR699" s="1"/>
      <c r="AS699" s="1"/>
      <c r="AT699" s="1"/>
      <c r="AU699" s="1"/>
    </row>
    <row r="700" ht="10.5" customHeight="1">
      <c r="A700" s="1"/>
      <c r="B700" s="2"/>
      <c r="C700" s="1"/>
      <c r="D700" s="1"/>
      <c r="E700" s="1"/>
      <c r="F700" s="9"/>
      <c r="G700" s="9"/>
      <c r="H700" s="9"/>
      <c r="I700" s="9"/>
      <c r="J700" s="93"/>
      <c r="K700" s="9"/>
      <c r="L700" s="9"/>
      <c r="M700" s="9"/>
      <c r="N700" s="9"/>
      <c r="O700" s="9"/>
      <c r="P700" s="9"/>
      <c r="Q700" s="93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1"/>
      <c r="AL700" s="1"/>
      <c r="AM700" s="1"/>
      <c r="AN700" s="94"/>
      <c r="AO700" s="1"/>
      <c r="AP700" s="1"/>
      <c r="AQ700" s="1"/>
      <c r="AR700" s="1"/>
      <c r="AS700" s="1"/>
      <c r="AT700" s="1"/>
      <c r="AU700" s="1"/>
    </row>
    <row r="701" ht="10.5" customHeight="1">
      <c r="A701" s="1"/>
      <c r="B701" s="2"/>
      <c r="C701" s="1"/>
      <c r="D701" s="1"/>
      <c r="E701" s="1"/>
      <c r="F701" s="9"/>
      <c r="G701" s="9"/>
      <c r="H701" s="9"/>
      <c r="I701" s="9"/>
      <c r="J701" s="93"/>
      <c r="K701" s="9"/>
      <c r="L701" s="9"/>
      <c r="M701" s="9"/>
      <c r="N701" s="9"/>
      <c r="O701" s="9"/>
      <c r="P701" s="9"/>
      <c r="Q701" s="93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1"/>
      <c r="AL701" s="1"/>
      <c r="AM701" s="1"/>
      <c r="AN701" s="94"/>
      <c r="AO701" s="1"/>
      <c r="AP701" s="1"/>
      <c r="AQ701" s="1"/>
      <c r="AR701" s="1"/>
      <c r="AS701" s="1"/>
      <c r="AT701" s="1"/>
      <c r="AU701" s="1"/>
    </row>
    <row r="702" ht="10.5" customHeight="1">
      <c r="A702" s="1"/>
      <c r="B702" s="2"/>
      <c r="C702" s="1"/>
      <c r="D702" s="1"/>
      <c r="E702" s="1"/>
      <c r="F702" s="9"/>
      <c r="G702" s="9"/>
      <c r="H702" s="9"/>
      <c r="I702" s="9"/>
      <c r="J702" s="93"/>
      <c r="K702" s="9"/>
      <c r="L702" s="9"/>
      <c r="M702" s="9"/>
      <c r="N702" s="9"/>
      <c r="O702" s="9"/>
      <c r="P702" s="9"/>
      <c r="Q702" s="93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1"/>
      <c r="AL702" s="1"/>
      <c r="AM702" s="1"/>
      <c r="AN702" s="94"/>
      <c r="AO702" s="1"/>
      <c r="AP702" s="1"/>
      <c r="AQ702" s="1"/>
      <c r="AR702" s="1"/>
      <c r="AS702" s="1"/>
      <c r="AT702" s="1"/>
      <c r="AU702" s="1"/>
    </row>
    <row r="703" ht="10.5" customHeight="1">
      <c r="A703" s="1"/>
      <c r="B703" s="2"/>
      <c r="C703" s="1"/>
      <c r="D703" s="1"/>
      <c r="E703" s="1"/>
      <c r="F703" s="9"/>
      <c r="G703" s="9"/>
      <c r="H703" s="9"/>
      <c r="I703" s="9"/>
      <c r="J703" s="93"/>
      <c r="K703" s="9"/>
      <c r="L703" s="9"/>
      <c r="M703" s="9"/>
      <c r="N703" s="9"/>
      <c r="O703" s="9"/>
      <c r="P703" s="9"/>
      <c r="Q703" s="93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1"/>
      <c r="AL703" s="1"/>
      <c r="AM703" s="1"/>
      <c r="AN703" s="94"/>
      <c r="AO703" s="1"/>
      <c r="AP703" s="1"/>
      <c r="AQ703" s="1"/>
      <c r="AR703" s="1"/>
      <c r="AS703" s="1"/>
      <c r="AT703" s="1"/>
      <c r="AU703" s="1"/>
    </row>
    <row r="704" ht="10.5" customHeight="1">
      <c r="A704" s="1"/>
      <c r="B704" s="2"/>
      <c r="C704" s="1"/>
      <c r="D704" s="1"/>
      <c r="E704" s="1"/>
      <c r="F704" s="9"/>
      <c r="G704" s="9"/>
      <c r="H704" s="9"/>
      <c r="I704" s="9"/>
      <c r="J704" s="93"/>
      <c r="K704" s="9"/>
      <c r="L704" s="9"/>
      <c r="M704" s="9"/>
      <c r="N704" s="9"/>
      <c r="O704" s="9"/>
      <c r="P704" s="9"/>
      <c r="Q704" s="93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1"/>
      <c r="AL704" s="1"/>
      <c r="AM704" s="1"/>
      <c r="AN704" s="94"/>
      <c r="AO704" s="1"/>
      <c r="AP704" s="1"/>
      <c r="AQ704" s="1"/>
      <c r="AR704" s="1"/>
      <c r="AS704" s="1"/>
      <c r="AT704" s="1"/>
      <c r="AU704" s="1"/>
    </row>
    <row r="705" ht="10.5" customHeight="1">
      <c r="A705" s="1"/>
      <c r="B705" s="2"/>
      <c r="C705" s="1"/>
      <c r="D705" s="1"/>
      <c r="E705" s="1"/>
      <c r="F705" s="9"/>
      <c r="G705" s="9"/>
      <c r="H705" s="9"/>
      <c r="I705" s="9"/>
      <c r="J705" s="93"/>
      <c r="K705" s="9"/>
      <c r="L705" s="9"/>
      <c r="M705" s="9"/>
      <c r="N705" s="9"/>
      <c r="O705" s="9"/>
      <c r="P705" s="9"/>
      <c r="Q705" s="93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1"/>
      <c r="AL705" s="1"/>
      <c r="AM705" s="1"/>
      <c r="AN705" s="94"/>
      <c r="AO705" s="1"/>
      <c r="AP705" s="1"/>
      <c r="AQ705" s="1"/>
      <c r="AR705" s="1"/>
      <c r="AS705" s="1"/>
      <c r="AT705" s="1"/>
      <c r="AU705" s="1"/>
    </row>
    <row r="706" ht="10.5" customHeight="1">
      <c r="A706" s="1"/>
      <c r="B706" s="2"/>
      <c r="C706" s="1"/>
      <c r="D706" s="1"/>
      <c r="E706" s="1"/>
      <c r="F706" s="9"/>
      <c r="G706" s="9"/>
      <c r="H706" s="9"/>
      <c r="I706" s="9"/>
      <c r="J706" s="93"/>
      <c r="K706" s="9"/>
      <c r="L706" s="9"/>
      <c r="M706" s="9"/>
      <c r="N706" s="9"/>
      <c r="O706" s="9"/>
      <c r="P706" s="9"/>
      <c r="Q706" s="93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1"/>
      <c r="AL706" s="1"/>
      <c r="AM706" s="1"/>
      <c r="AN706" s="94"/>
      <c r="AO706" s="1"/>
      <c r="AP706" s="1"/>
      <c r="AQ706" s="1"/>
      <c r="AR706" s="1"/>
      <c r="AS706" s="1"/>
      <c r="AT706" s="1"/>
      <c r="AU706" s="1"/>
    </row>
    <row r="707" ht="10.5" customHeight="1">
      <c r="A707" s="1"/>
      <c r="B707" s="2"/>
      <c r="C707" s="1"/>
      <c r="D707" s="1"/>
      <c r="E707" s="1"/>
      <c r="F707" s="9"/>
      <c r="G707" s="9"/>
      <c r="H707" s="9"/>
      <c r="I707" s="9"/>
      <c r="J707" s="93"/>
      <c r="K707" s="9"/>
      <c r="L707" s="9"/>
      <c r="M707" s="9"/>
      <c r="N707" s="9"/>
      <c r="O707" s="9"/>
      <c r="P707" s="9"/>
      <c r="Q707" s="93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1"/>
      <c r="AL707" s="1"/>
      <c r="AM707" s="1"/>
      <c r="AN707" s="94"/>
      <c r="AO707" s="1"/>
      <c r="AP707" s="1"/>
      <c r="AQ707" s="1"/>
      <c r="AR707" s="1"/>
      <c r="AS707" s="1"/>
      <c r="AT707" s="1"/>
      <c r="AU707" s="1"/>
    </row>
    <row r="708" ht="10.5" customHeight="1">
      <c r="A708" s="1"/>
      <c r="B708" s="2"/>
      <c r="C708" s="1"/>
      <c r="D708" s="1"/>
      <c r="E708" s="1"/>
      <c r="F708" s="9"/>
      <c r="G708" s="9"/>
      <c r="H708" s="9"/>
      <c r="I708" s="9"/>
      <c r="J708" s="93"/>
      <c r="K708" s="9"/>
      <c r="L708" s="9"/>
      <c r="M708" s="9"/>
      <c r="N708" s="9"/>
      <c r="O708" s="9"/>
      <c r="P708" s="9"/>
      <c r="Q708" s="93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1"/>
      <c r="AL708" s="1"/>
      <c r="AM708" s="1"/>
      <c r="AN708" s="94"/>
      <c r="AO708" s="1"/>
      <c r="AP708" s="1"/>
      <c r="AQ708" s="1"/>
      <c r="AR708" s="1"/>
      <c r="AS708" s="1"/>
      <c r="AT708" s="1"/>
      <c r="AU708" s="1"/>
    </row>
    <row r="709" ht="10.5" customHeight="1">
      <c r="A709" s="1"/>
      <c r="B709" s="2"/>
      <c r="C709" s="1"/>
      <c r="D709" s="1"/>
      <c r="E709" s="1"/>
      <c r="F709" s="9"/>
      <c r="G709" s="9"/>
      <c r="H709" s="9"/>
      <c r="I709" s="9"/>
      <c r="J709" s="93"/>
      <c r="K709" s="9"/>
      <c r="L709" s="9"/>
      <c r="M709" s="9"/>
      <c r="N709" s="9"/>
      <c r="O709" s="9"/>
      <c r="P709" s="9"/>
      <c r="Q709" s="93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1"/>
      <c r="AL709" s="1"/>
      <c r="AM709" s="1"/>
      <c r="AN709" s="94"/>
      <c r="AO709" s="1"/>
      <c r="AP709" s="1"/>
      <c r="AQ709" s="1"/>
      <c r="AR709" s="1"/>
      <c r="AS709" s="1"/>
      <c r="AT709" s="1"/>
      <c r="AU709" s="1"/>
    </row>
    <row r="710" ht="10.5" customHeight="1">
      <c r="A710" s="1"/>
      <c r="B710" s="2"/>
      <c r="C710" s="1"/>
      <c r="D710" s="1"/>
      <c r="E710" s="1"/>
      <c r="F710" s="9"/>
      <c r="G710" s="9"/>
      <c r="H710" s="9"/>
      <c r="I710" s="9"/>
      <c r="J710" s="93"/>
      <c r="K710" s="9"/>
      <c r="L710" s="9"/>
      <c r="M710" s="9"/>
      <c r="N710" s="9"/>
      <c r="O710" s="9"/>
      <c r="P710" s="9"/>
      <c r="Q710" s="93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1"/>
      <c r="AL710" s="1"/>
      <c r="AM710" s="1"/>
      <c r="AN710" s="94"/>
      <c r="AO710" s="1"/>
      <c r="AP710" s="1"/>
      <c r="AQ710" s="1"/>
      <c r="AR710" s="1"/>
      <c r="AS710" s="1"/>
      <c r="AT710" s="1"/>
      <c r="AU710" s="1"/>
    </row>
    <row r="711" ht="10.5" customHeight="1">
      <c r="A711" s="1"/>
      <c r="B711" s="2"/>
      <c r="C711" s="1"/>
      <c r="D711" s="1"/>
      <c r="E711" s="1"/>
      <c r="F711" s="9"/>
      <c r="G711" s="9"/>
      <c r="H711" s="9"/>
      <c r="I711" s="9"/>
      <c r="J711" s="93"/>
      <c r="K711" s="9"/>
      <c r="L711" s="9"/>
      <c r="M711" s="9"/>
      <c r="N711" s="9"/>
      <c r="O711" s="9"/>
      <c r="P711" s="9"/>
      <c r="Q711" s="93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1"/>
      <c r="AL711" s="1"/>
      <c r="AM711" s="1"/>
      <c r="AN711" s="94"/>
      <c r="AO711" s="1"/>
      <c r="AP711" s="1"/>
      <c r="AQ711" s="1"/>
      <c r="AR711" s="1"/>
      <c r="AS711" s="1"/>
      <c r="AT711" s="1"/>
      <c r="AU711" s="1"/>
    </row>
    <row r="712" ht="10.5" customHeight="1">
      <c r="A712" s="1"/>
      <c r="B712" s="2"/>
      <c r="C712" s="1"/>
      <c r="D712" s="1"/>
      <c r="E712" s="1"/>
      <c r="F712" s="9"/>
      <c r="G712" s="9"/>
      <c r="H712" s="9"/>
      <c r="I712" s="9"/>
      <c r="J712" s="93"/>
      <c r="K712" s="9"/>
      <c r="L712" s="9"/>
      <c r="M712" s="9"/>
      <c r="N712" s="9"/>
      <c r="O712" s="9"/>
      <c r="P712" s="9"/>
      <c r="Q712" s="93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1"/>
      <c r="AL712" s="1"/>
      <c r="AM712" s="1"/>
      <c r="AN712" s="94"/>
      <c r="AO712" s="1"/>
      <c r="AP712" s="1"/>
      <c r="AQ712" s="1"/>
      <c r="AR712" s="1"/>
      <c r="AS712" s="1"/>
      <c r="AT712" s="1"/>
      <c r="AU712" s="1"/>
    </row>
    <row r="713" ht="10.5" customHeight="1">
      <c r="A713" s="1"/>
      <c r="B713" s="2"/>
      <c r="C713" s="1"/>
      <c r="D713" s="1"/>
      <c r="E713" s="1"/>
      <c r="F713" s="9"/>
      <c r="G713" s="9"/>
      <c r="H713" s="9"/>
      <c r="I713" s="9"/>
      <c r="J713" s="93"/>
      <c r="K713" s="9"/>
      <c r="L713" s="9"/>
      <c r="M713" s="9"/>
      <c r="N713" s="9"/>
      <c r="O713" s="9"/>
      <c r="P713" s="9"/>
      <c r="Q713" s="93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1"/>
      <c r="AL713" s="1"/>
      <c r="AM713" s="1"/>
      <c r="AN713" s="94"/>
      <c r="AO713" s="1"/>
      <c r="AP713" s="1"/>
      <c r="AQ713" s="1"/>
      <c r="AR713" s="1"/>
      <c r="AS713" s="1"/>
      <c r="AT713" s="1"/>
      <c r="AU713" s="1"/>
    </row>
    <row r="714" ht="10.5" customHeight="1">
      <c r="A714" s="1"/>
      <c r="B714" s="2"/>
      <c r="C714" s="1"/>
      <c r="D714" s="1"/>
      <c r="E714" s="1"/>
      <c r="F714" s="9"/>
      <c r="G714" s="9"/>
      <c r="H714" s="9"/>
      <c r="I714" s="9"/>
      <c r="J714" s="93"/>
      <c r="K714" s="9"/>
      <c r="L714" s="9"/>
      <c r="M714" s="9"/>
      <c r="N714" s="9"/>
      <c r="O714" s="9"/>
      <c r="P714" s="9"/>
      <c r="Q714" s="93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1"/>
      <c r="AL714" s="1"/>
      <c r="AM714" s="1"/>
      <c r="AN714" s="94"/>
      <c r="AO714" s="1"/>
      <c r="AP714" s="1"/>
      <c r="AQ714" s="1"/>
      <c r="AR714" s="1"/>
      <c r="AS714" s="1"/>
      <c r="AT714" s="1"/>
      <c r="AU714" s="1"/>
    </row>
    <row r="715" ht="10.5" customHeight="1">
      <c r="A715" s="1"/>
      <c r="B715" s="2"/>
      <c r="C715" s="1"/>
      <c r="D715" s="1"/>
      <c r="E715" s="1"/>
      <c r="F715" s="9"/>
      <c r="G715" s="9"/>
      <c r="H715" s="9"/>
      <c r="I715" s="9"/>
      <c r="J715" s="93"/>
      <c r="K715" s="9"/>
      <c r="L715" s="9"/>
      <c r="M715" s="9"/>
      <c r="N715" s="9"/>
      <c r="O715" s="9"/>
      <c r="P715" s="9"/>
      <c r="Q715" s="93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1"/>
      <c r="AL715" s="1"/>
      <c r="AM715" s="1"/>
      <c r="AN715" s="94"/>
      <c r="AO715" s="1"/>
      <c r="AP715" s="1"/>
      <c r="AQ715" s="1"/>
      <c r="AR715" s="1"/>
      <c r="AS715" s="1"/>
      <c r="AT715" s="1"/>
      <c r="AU715" s="1"/>
    </row>
    <row r="716" ht="10.5" customHeight="1">
      <c r="A716" s="1"/>
      <c r="B716" s="2"/>
      <c r="C716" s="1"/>
      <c r="D716" s="1"/>
      <c r="E716" s="1"/>
      <c r="F716" s="9"/>
      <c r="G716" s="9"/>
      <c r="H716" s="9"/>
      <c r="I716" s="9"/>
      <c r="J716" s="93"/>
      <c r="K716" s="9"/>
      <c r="L716" s="9"/>
      <c r="M716" s="9"/>
      <c r="N716" s="9"/>
      <c r="O716" s="9"/>
      <c r="P716" s="9"/>
      <c r="Q716" s="93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1"/>
      <c r="AL716" s="1"/>
      <c r="AM716" s="1"/>
      <c r="AN716" s="94"/>
      <c r="AO716" s="1"/>
      <c r="AP716" s="1"/>
      <c r="AQ716" s="1"/>
      <c r="AR716" s="1"/>
      <c r="AS716" s="1"/>
      <c r="AT716" s="1"/>
      <c r="AU716" s="1"/>
    </row>
    <row r="717" ht="10.5" customHeight="1">
      <c r="A717" s="1"/>
      <c r="B717" s="2"/>
      <c r="C717" s="1"/>
      <c r="D717" s="1"/>
      <c r="E717" s="1"/>
      <c r="F717" s="9"/>
      <c r="G717" s="9"/>
      <c r="H717" s="9"/>
      <c r="I717" s="9"/>
      <c r="J717" s="93"/>
      <c r="K717" s="9"/>
      <c r="L717" s="9"/>
      <c r="M717" s="9"/>
      <c r="N717" s="9"/>
      <c r="O717" s="9"/>
      <c r="P717" s="9"/>
      <c r="Q717" s="93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1"/>
      <c r="AL717" s="1"/>
      <c r="AM717" s="1"/>
      <c r="AN717" s="94"/>
      <c r="AO717" s="1"/>
      <c r="AP717" s="1"/>
      <c r="AQ717" s="1"/>
      <c r="AR717" s="1"/>
      <c r="AS717" s="1"/>
      <c r="AT717" s="1"/>
      <c r="AU717" s="1"/>
    </row>
    <row r="718" ht="10.5" customHeight="1">
      <c r="A718" s="1"/>
      <c r="B718" s="2"/>
      <c r="C718" s="1"/>
      <c r="D718" s="1"/>
      <c r="E718" s="1"/>
      <c r="F718" s="9"/>
      <c r="G718" s="9"/>
      <c r="H718" s="9"/>
      <c r="I718" s="9"/>
      <c r="J718" s="93"/>
      <c r="K718" s="9"/>
      <c r="L718" s="9"/>
      <c r="M718" s="9"/>
      <c r="N718" s="9"/>
      <c r="O718" s="9"/>
      <c r="P718" s="9"/>
      <c r="Q718" s="93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1"/>
      <c r="AL718" s="1"/>
      <c r="AM718" s="1"/>
      <c r="AN718" s="94"/>
      <c r="AO718" s="1"/>
      <c r="AP718" s="1"/>
      <c r="AQ718" s="1"/>
      <c r="AR718" s="1"/>
      <c r="AS718" s="1"/>
      <c r="AT718" s="1"/>
      <c r="AU718" s="1"/>
    </row>
    <row r="719" ht="10.5" customHeight="1">
      <c r="A719" s="1"/>
      <c r="B719" s="2"/>
      <c r="C719" s="1"/>
      <c r="D719" s="1"/>
      <c r="E719" s="1"/>
      <c r="F719" s="9"/>
      <c r="G719" s="9"/>
      <c r="H719" s="9"/>
      <c r="I719" s="9"/>
      <c r="J719" s="93"/>
      <c r="K719" s="9"/>
      <c r="L719" s="9"/>
      <c r="M719" s="9"/>
      <c r="N719" s="9"/>
      <c r="O719" s="9"/>
      <c r="P719" s="9"/>
      <c r="Q719" s="93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1"/>
      <c r="AL719" s="1"/>
      <c r="AM719" s="1"/>
      <c r="AN719" s="94"/>
      <c r="AO719" s="1"/>
      <c r="AP719" s="1"/>
      <c r="AQ719" s="1"/>
      <c r="AR719" s="1"/>
      <c r="AS719" s="1"/>
      <c r="AT719" s="1"/>
      <c r="AU719" s="1"/>
    </row>
    <row r="720" ht="10.5" customHeight="1">
      <c r="A720" s="1"/>
      <c r="B720" s="2"/>
      <c r="C720" s="1"/>
      <c r="D720" s="1"/>
      <c r="E720" s="1"/>
      <c r="F720" s="9"/>
      <c r="G720" s="9"/>
      <c r="H720" s="9"/>
      <c r="I720" s="9"/>
      <c r="J720" s="93"/>
      <c r="K720" s="9"/>
      <c r="L720" s="9"/>
      <c r="M720" s="9"/>
      <c r="N720" s="9"/>
      <c r="O720" s="9"/>
      <c r="P720" s="9"/>
      <c r="Q720" s="93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1"/>
      <c r="AL720" s="1"/>
      <c r="AM720" s="1"/>
      <c r="AN720" s="94"/>
      <c r="AO720" s="1"/>
      <c r="AP720" s="1"/>
      <c r="AQ720" s="1"/>
      <c r="AR720" s="1"/>
      <c r="AS720" s="1"/>
      <c r="AT720" s="1"/>
      <c r="AU720" s="1"/>
    </row>
    <row r="721" ht="10.5" customHeight="1">
      <c r="A721" s="1"/>
      <c r="B721" s="2"/>
      <c r="C721" s="1"/>
      <c r="D721" s="1"/>
      <c r="E721" s="1"/>
      <c r="F721" s="9"/>
      <c r="G721" s="9"/>
      <c r="H721" s="9"/>
      <c r="I721" s="9"/>
      <c r="J721" s="93"/>
      <c r="K721" s="9"/>
      <c r="L721" s="9"/>
      <c r="M721" s="9"/>
      <c r="N721" s="9"/>
      <c r="O721" s="9"/>
      <c r="P721" s="9"/>
      <c r="Q721" s="93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1"/>
      <c r="AL721" s="1"/>
      <c r="AM721" s="1"/>
      <c r="AN721" s="94"/>
      <c r="AO721" s="1"/>
      <c r="AP721" s="1"/>
      <c r="AQ721" s="1"/>
      <c r="AR721" s="1"/>
      <c r="AS721" s="1"/>
      <c r="AT721" s="1"/>
      <c r="AU721" s="1"/>
    </row>
    <row r="722" ht="10.5" customHeight="1">
      <c r="A722" s="1"/>
      <c r="B722" s="2"/>
      <c r="C722" s="1"/>
      <c r="D722" s="1"/>
      <c r="E722" s="1"/>
      <c r="F722" s="9"/>
      <c r="G722" s="9"/>
      <c r="H722" s="9"/>
      <c r="I722" s="9"/>
      <c r="J722" s="93"/>
      <c r="K722" s="9"/>
      <c r="L722" s="9"/>
      <c r="M722" s="9"/>
      <c r="N722" s="9"/>
      <c r="O722" s="9"/>
      <c r="P722" s="9"/>
      <c r="Q722" s="93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1"/>
      <c r="AL722" s="1"/>
      <c r="AM722" s="1"/>
      <c r="AN722" s="94"/>
      <c r="AO722" s="1"/>
      <c r="AP722" s="1"/>
      <c r="AQ722" s="1"/>
      <c r="AR722" s="1"/>
      <c r="AS722" s="1"/>
      <c r="AT722" s="1"/>
      <c r="AU722" s="1"/>
    </row>
    <row r="723" ht="10.5" customHeight="1">
      <c r="A723" s="1"/>
      <c r="B723" s="2"/>
      <c r="C723" s="1"/>
      <c r="D723" s="1"/>
      <c r="E723" s="1"/>
      <c r="F723" s="9"/>
      <c r="G723" s="9"/>
      <c r="H723" s="9"/>
      <c r="I723" s="9"/>
      <c r="J723" s="93"/>
      <c r="K723" s="9"/>
      <c r="L723" s="9"/>
      <c r="M723" s="9"/>
      <c r="N723" s="9"/>
      <c r="O723" s="9"/>
      <c r="P723" s="9"/>
      <c r="Q723" s="93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1"/>
      <c r="AL723" s="1"/>
      <c r="AM723" s="1"/>
      <c r="AN723" s="94"/>
      <c r="AO723" s="1"/>
      <c r="AP723" s="1"/>
      <c r="AQ723" s="1"/>
      <c r="AR723" s="1"/>
      <c r="AS723" s="1"/>
      <c r="AT723" s="1"/>
      <c r="AU723" s="1"/>
    </row>
    <row r="724" ht="10.5" customHeight="1">
      <c r="A724" s="1"/>
      <c r="B724" s="2"/>
      <c r="C724" s="1"/>
      <c r="D724" s="1"/>
      <c r="E724" s="1"/>
      <c r="F724" s="9"/>
      <c r="G724" s="9"/>
      <c r="H724" s="9"/>
      <c r="I724" s="9"/>
      <c r="J724" s="93"/>
      <c r="K724" s="9"/>
      <c r="L724" s="9"/>
      <c r="M724" s="9"/>
      <c r="N724" s="9"/>
      <c r="O724" s="9"/>
      <c r="P724" s="9"/>
      <c r="Q724" s="93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1"/>
      <c r="AL724" s="1"/>
      <c r="AM724" s="1"/>
      <c r="AN724" s="94"/>
      <c r="AO724" s="1"/>
      <c r="AP724" s="1"/>
      <c r="AQ724" s="1"/>
      <c r="AR724" s="1"/>
      <c r="AS724" s="1"/>
      <c r="AT724" s="1"/>
      <c r="AU724" s="1"/>
    </row>
    <row r="725" ht="10.5" customHeight="1">
      <c r="A725" s="1"/>
      <c r="B725" s="2"/>
      <c r="C725" s="1"/>
      <c r="D725" s="1"/>
      <c r="E725" s="1"/>
      <c r="F725" s="9"/>
      <c r="G725" s="9"/>
      <c r="H725" s="9"/>
      <c r="I725" s="9"/>
      <c r="J725" s="93"/>
      <c r="K725" s="9"/>
      <c r="L725" s="9"/>
      <c r="M725" s="9"/>
      <c r="N725" s="9"/>
      <c r="O725" s="9"/>
      <c r="P725" s="9"/>
      <c r="Q725" s="93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1"/>
      <c r="AL725" s="1"/>
      <c r="AM725" s="1"/>
      <c r="AN725" s="94"/>
      <c r="AO725" s="1"/>
      <c r="AP725" s="1"/>
      <c r="AQ725" s="1"/>
      <c r="AR725" s="1"/>
      <c r="AS725" s="1"/>
      <c r="AT725" s="1"/>
      <c r="AU725" s="1"/>
    </row>
    <row r="726" ht="10.5" customHeight="1">
      <c r="A726" s="1"/>
      <c r="B726" s="2"/>
      <c r="C726" s="1"/>
      <c r="D726" s="1"/>
      <c r="E726" s="1"/>
      <c r="F726" s="9"/>
      <c r="G726" s="9"/>
      <c r="H726" s="9"/>
      <c r="I726" s="9"/>
      <c r="J726" s="93"/>
      <c r="K726" s="9"/>
      <c r="L726" s="9"/>
      <c r="M726" s="9"/>
      <c r="N726" s="9"/>
      <c r="O726" s="9"/>
      <c r="P726" s="9"/>
      <c r="Q726" s="93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1"/>
      <c r="AL726" s="1"/>
      <c r="AM726" s="1"/>
      <c r="AN726" s="94"/>
      <c r="AO726" s="1"/>
      <c r="AP726" s="1"/>
      <c r="AQ726" s="1"/>
      <c r="AR726" s="1"/>
      <c r="AS726" s="1"/>
      <c r="AT726" s="1"/>
      <c r="AU726" s="1"/>
    </row>
    <row r="727" ht="10.5" customHeight="1">
      <c r="A727" s="1"/>
      <c r="B727" s="2"/>
      <c r="C727" s="1"/>
      <c r="D727" s="1"/>
      <c r="E727" s="1"/>
      <c r="F727" s="9"/>
      <c r="G727" s="9"/>
      <c r="H727" s="9"/>
      <c r="I727" s="9"/>
      <c r="J727" s="93"/>
      <c r="K727" s="9"/>
      <c r="L727" s="9"/>
      <c r="M727" s="9"/>
      <c r="N727" s="9"/>
      <c r="O727" s="9"/>
      <c r="P727" s="9"/>
      <c r="Q727" s="93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1"/>
      <c r="AL727" s="1"/>
      <c r="AM727" s="1"/>
      <c r="AN727" s="94"/>
      <c r="AO727" s="1"/>
      <c r="AP727" s="1"/>
      <c r="AQ727" s="1"/>
      <c r="AR727" s="1"/>
      <c r="AS727" s="1"/>
      <c r="AT727" s="1"/>
      <c r="AU727" s="1"/>
    </row>
    <row r="728" ht="10.5" customHeight="1">
      <c r="A728" s="1"/>
      <c r="B728" s="2"/>
      <c r="C728" s="1"/>
      <c r="D728" s="1"/>
      <c r="E728" s="1"/>
      <c r="F728" s="9"/>
      <c r="G728" s="9"/>
      <c r="H728" s="9"/>
      <c r="I728" s="9"/>
      <c r="J728" s="93"/>
      <c r="K728" s="9"/>
      <c r="L728" s="9"/>
      <c r="M728" s="9"/>
      <c r="N728" s="9"/>
      <c r="O728" s="9"/>
      <c r="P728" s="9"/>
      <c r="Q728" s="93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1"/>
      <c r="AL728" s="1"/>
      <c r="AM728" s="1"/>
      <c r="AN728" s="94"/>
      <c r="AO728" s="1"/>
      <c r="AP728" s="1"/>
      <c r="AQ728" s="1"/>
      <c r="AR728" s="1"/>
      <c r="AS728" s="1"/>
      <c r="AT728" s="1"/>
      <c r="AU728" s="1"/>
    </row>
    <row r="729" ht="10.5" customHeight="1">
      <c r="A729" s="1"/>
      <c r="B729" s="2"/>
      <c r="C729" s="1"/>
      <c r="D729" s="1"/>
      <c r="E729" s="1"/>
      <c r="F729" s="9"/>
      <c r="G729" s="9"/>
      <c r="H729" s="9"/>
      <c r="I729" s="9"/>
      <c r="J729" s="93"/>
      <c r="K729" s="9"/>
      <c r="L729" s="9"/>
      <c r="M729" s="9"/>
      <c r="N729" s="9"/>
      <c r="O729" s="9"/>
      <c r="P729" s="9"/>
      <c r="Q729" s="93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1"/>
      <c r="AL729" s="1"/>
      <c r="AM729" s="1"/>
      <c r="AN729" s="94"/>
      <c r="AO729" s="1"/>
      <c r="AP729" s="1"/>
      <c r="AQ729" s="1"/>
      <c r="AR729" s="1"/>
      <c r="AS729" s="1"/>
      <c r="AT729" s="1"/>
      <c r="AU729" s="1"/>
    </row>
    <row r="730" ht="10.5" customHeight="1">
      <c r="A730" s="1"/>
      <c r="B730" s="2"/>
      <c r="C730" s="1"/>
      <c r="D730" s="1"/>
      <c r="E730" s="1"/>
      <c r="F730" s="9"/>
      <c r="G730" s="9"/>
      <c r="H730" s="9"/>
      <c r="I730" s="9"/>
      <c r="J730" s="93"/>
      <c r="K730" s="9"/>
      <c r="L730" s="9"/>
      <c r="M730" s="9"/>
      <c r="N730" s="9"/>
      <c r="O730" s="9"/>
      <c r="P730" s="9"/>
      <c r="Q730" s="93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1"/>
      <c r="AL730" s="1"/>
      <c r="AM730" s="1"/>
      <c r="AN730" s="94"/>
      <c r="AO730" s="1"/>
      <c r="AP730" s="1"/>
      <c r="AQ730" s="1"/>
      <c r="AR730" s="1"/>
      <c r="AS730" s="1"/>
      <c r="AT730" s="1"/>
      <c r="AU730" s="1"/>
    </row>
    <row r="731" ht="10.5" customHeight="1">
      <c r="A731" s="1"/>
      <c r="B731" s="2"/>
      <c r="C731" s="1"/>
      <c r="D731" s="1"/>
      <c r="E731" s="1"/>
      <c r="F731" s="9"/>
      <c r="G731" s="9"/>
      <c r="H731" s="9"/>
      <c r="I731" s="9"/>
      <c r="J731" s="93"/>
      <c r="K731" s="9"/>
      <c r="L731" s="9"/>
      <c r="M731" s="9"/>
      <c r="N731" s="9"/>
      <c r="O731" s="9"/>
      <c r="P731" s="9"/>
      <c r="Q731" s="93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1"/>
      <c r="AL731" s="1"/>
      <c r="AM731" s="1"/>
      <c r="AN731" s="94"/>
      <c r="AO731" s="1"/>
      <c r="AP731" s="1"/>
      <c r="AQ731" s="1"/>
      <c r="AR731" s="1"/>
      <c r="AS731" s="1"/>
      <c r="AT731" s="1"/>
      <c r="AU731" s="1"/>
    </row>
    <row r="732" ht="10.5" customHeight="1">
      <c r="A732" s="1"/>
      <c r="B732" s="2"/>
      <c r="C732" s="1"/>
      <c r="D732" s="1"/>
      <c r="E732" s="1"/>
      <c r="F732" s="9"/>
      <c r="G732" s="9"/>
      <c r="H732" s="9"/>
      <c r="I732" s="9"/>
      <c r="J732" s="93"/>
      <c r="K732" s="9"/>
      <c r="L732" s="9"/>
      <c r="M732" s="9"/>
      <c r="N732" s="9"/>
      <c r="O732" s="9"/>
      <c r="P732" s="9"/>
      <c r="Q732" s="93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1"/>
      <c r="AL732" s="1"/>
      <c r="AM732" s="1"/>
      <c r="AN732" s="94"/>
      <c r="AO732" s="1"/>
      <c r="AP732" s="1"/>
      <c r="AQ732" s="1"/>
      <c r="AR732" s="1"/>
      <c r="AS732" s="1"/>
      <c r="AT732" s="1"/>
      <c r="AU732" s="1"/>
    </row>
    <row r="733" ht="10.5" customHeight="1">
      <c r="A733" s="1"/>
      <c r="B733" s="2"/>
      <c r="C733" s="1"/>
      <c r="D733" s="1"/>
      <c r="E733" s="1"/>
      <c r="F733" s="9"/>
      <c r="G733" s="9"/>
      <c r="H733" s="9"/>
      <c r="I733" s="9"/>
      <c r="J733" s="93"/>
      <c r="K733" s="9"/>
      <c r="L733" s="9"/>
      <c r="M733" s="9"/>
      <c r="N733" s="9"/>
      <c r="O733" s="9"/>
      <c r="P733" s="9"/>
      <c r="Q733" s="93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1"/>
      <c r="AL733" s="1"/>
      <c r="AM733" s="1"/>
      <c r="AN733" s="94"/>
      <c r="AO733" s="1"/>
      <c r="AP733" s="1"/>
      <c r="AQ733" s="1"/>
      <c r="AR733" s="1"/>
      <c r="AS733" s="1"/>
      <c r="AT733" s="1"/>
      <c r="AU733" s="1"/>
    </row>
    <row r="734" ht="10.5" customHeight="1">
      <c r="A734" s="1"/>
      <c r="B734" s="2"/>
      <c r="C734" s="1"/>
      <c r="D734" s="1"/>
      <c r="E734" s="1"/>
      <c r="F734" s="9"/>
      <c r="G734" s="9"/>
      <c r="H734" s="9"/>
      <c r="I734" s="9"/>
      <c r="J734" s="93"/>
      <c r="K734" s="9"/>
      <c r="L734" s="9"/>
      <c r="M734" s="9"/>
      <c r="N734" s="9"/>
      <c r="O734" s="9"/>
      <c r="P734" s="9"/>
      <c r="Q734" s="93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1"/>
      <c r="AL734" s="1"/>
      <c r="AM734" s="1"/>
      <c r="AN734" s="94"/>
      <c r="AO734" s="1"/>
      <c r="AP734" s="1"/>
      <c r="AQ734" s="1"/>
      <c r="AR734" s="1"/>
      <c r="AS734" s="1"/>
      <c r="AT734" s="1"/>
      <c r="AU734" s="1"/>
    </row>
    <row r="735" ht="10.5" customHeight="1">
      <c r="A735" s="1"/>
      <c r="B735" s="2"/>
      <c r="C735" s="1"/>
      <c r="D735" s="1"/>
      <c r="E735" s="1"/>
      <c r="F735" s="9"/>
      <c r="G735" s="9"/>
      <c r="H735" s="9"/>
      <c r="I735" s="9"/>
      <c r="J735" s="93"/>
      <c r="K735" s="9"/>
      <c r="L735" s="9"/>
      <c r="M735" s="9"/>
      <c r="N735" s="9"/>
      <c r="O735" s="9"/>
      <c r="P735" s="9"/>
      <c r="Q735" s="93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1"/>
      <c r="AL735" s="1"/>
      <c r="AM735" s="1"/>
      <c r="AN735" s="94"/>
      <c r="AO735" s="1"/>
      <c r="AP735" s="1"/>
      <c r="AQ735" s="1"/>
      <c r="AR735" s="1"/>
      <c r="AS735" s="1"/>
      <c r="AT735" s="1"/>
      <c r="AU735" s="1"/>
    </row>
    <row r="736" ht="10.5" customHeight="1">
      <c r="A736" s="1"/>
      <c r="B736" s="2"/>
      <c r="C736" s="1"/>
      <c r="D736" s="1"/>
      <c r="E736" s="1"/>
      <c r="F736" s="9"/>
      <c r="G736" s="9"/>
      <c r="H736" s="9"/>
      <c r="I736" s="9"/>
      <c r="J736" s="93"/>
      <c r="K736" s="9"/>
      <c r="L736" s="9"/>
      <c r="M736" s="9"/>
      <c r="N736" s="9"/>
      <c r="O736" s="9"/>
      <c r="P736" s="9"/>
      <c r="Q736" s="93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1"/>
      <c r="AL736" s="1"/>
      <c r="AM736" s="1"/>
      <c r="AN736" s="94"/>
      <c r="AO736" s="1"/>
      <c r="AP736" s="1"/>
      <c r="AQ736" s="1"/>
      <c r="AR736" s="1"/>
      <c r="AS736" s="1"/>
      <c r="AT736" s="1"/>
      <c r="AU736" s="1"/>
    </row>
    <row r="737" ht="10.5" customHeight="1">
      <c r="A737" s="1"/>
      <c r="B737" s="2"/>
      <c r="C737" s="1"/>
      <c r="D737" s="1"/>
      <c r="E737" s="1"/>
      <c r="F737" s="9"/>
      <c r="G737" s="9"/>
      <c r="H737" s="9"/>
      <c r="I737" s="9"/>
      <c r="J737" s="93"/>
      <c r="K737" s="9"/>
      <c r="L737" s="9"/>
      <c r="M737" s="9"/>
      <c r="N737" s="9"/>
      <c r="O737" s="9"/>
      <c r="P737" s="9"/>
      <c r="Q737" s="93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1"/>
      <c r="AL737" s="1"/>
      <c r="AM737" s="1"/>
      <c r="AN737" s="94"/>
      <c r="AO737" s="1"/>
      <c r="AP737" s="1"/>
      <c r="AQ737" s="1"/>
      <c r="AR737" s="1"/>
      <c r="AS737" s="1"/>
      <c r="AT737" s="1"/>
      <c r="AU737" s="1"/>
    </row>
    <row r="738" ht="10.5" customHeight="1">
      <c r="A738" s="1"/>
      <c r="B738" s="2"/>
      <c r="C738" s="1"/>
      <c r="D738" s="1"/>
      <c r="E738" s="1"/>
      <c r="F738" s="9"/>
      <c r="G738" s="9"/>
      <c r="H738" s="9"/>
      <c r="I738" s="9"/>
      <c r="J738" s="93"/>
      <c r="K738" s="9"/>
      <c r="L738" s="9"/>
      <c r="M738" s="9"/>
      <c r="N738" s="9"/>
      <c r="O738" s="9"/>
      <c r="P738" s="9"/>
      <c r="Q738" s="93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1"/>
      <c r="AL738" s="1"/>
      <c r="AM738" s="1"/>
      <c r="AN738" s="94"/>
      <c r="AO738" s="1"/>
      <c r="AP738" s="1"/>
      <c r="AQ738" s="1"/>
      <c r="AR738" s="1"/>
      <c r="AS738" s="1"/>
      <c r="AT738" s="1"/>
      <c r="AU738" s="1"/>
    </row>
    <row r="739" ht="10.5" customHeight="1">
      <c r="A739" s="1"/>
      <c r="B739" s="2"/>
      <c r="C739" s="1"/>
      <c r="D739" s="1"/>
      <c r="E739" s="1"/>
      <c r="F739" s="9"/>
      <c r="G739" s="9"/>
      <c r="H739" s="9"/>
      <c r="I739" s="9"/>
      <c r="J739" s="93"/>
      <c r="K739" s="9"/>
      <c r="L739" s="9"/>
      <c r="M739" s="9"/>
      <c r="N739" s="9"/>
      <c r="O739" s="9"/>
      <c r="P739" s="9"/>
      <c r="Q739" s="93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1"/>
      <c r="AL739" s="1"/>
      <c r="AM739" s="1"/>
      <c r="AN739" s="94"/>
      <c r="AO739" s="1"/>
      <c r="AP739" s="1"/>
      <c r="AQ739" s="1"/>
      <c r="AR739" s="1"/>
      <c r="AS739" s="1"/>
      <c r="AT739" s="1"/>
      <c r="AU739" s="1"/>
    </row>
    <row r="740" ht="10.5" customHeight="1">
      <c r="A740" s="1"/>
      <c r="B740" s="2"/>
      <c r="C740" s="1"/>
      <c r="D740" s="1"/>
      <c r="E740" s="1"/>
      <c r="F740" s="9"/>
      <c r="G740" s="9"/>
      <c r="H740" s="9"/>
      <c r="I740" s="9"/>
      <c r="J740" s="93"/>
      <c r="K740" s="9"/>
      <c r="L740" s="9"/>
      <c r="M740" s="9"/>
      <c r="N740" s="9"/>
      <c r="O740" s="9"/>
      <c r="P740" s="9"/>
      <c r="Q740" s="93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1"/>
      <c r="AL740" s="1"/>
      <c r="AM740" s="1"/>
      <c r="AN740" s="94"/>
      <c r="AO740" s="1"/>
      <c r="AP740" s="1"/>
      <c r="AQ740" s="1"/>
      <c r="AR740" s="1"/>
      <c r="AS740" s="1"/>
      <c r="AT740" s="1"/>
      <c r="AU740" s="1"/>
    </row>
    <row r="741" ht="10.5" customHeight="1">
      <c r="A741" s="1"/>
      <c r="B741" s="2"/>
      <c r="C741" s="1"/>
      <c r="D741" s="1"/>
      <c r="E741" s="1"/>
      <c r="F741" s="9"/>
      <c r="G741" s="9"/>
      <c r="H741" s="9"/>
      <c r="I741" s="9"/>
      <c r="J741" s="93"/>
      <c r="K741" s="9"/>
      <c r="L741" s="9"/>
      <c r="M741" s="9"/>
      <c r="N741" s="9"/>
      <c r="O741" s="9"/>
      <c r="P741" s="9"/>
      <c r="Q741" s="93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1"/>
      <c r="AL741" s="1"/>
      <c r="AM741" s="1"/>
      <c r="AN741" s="94"/>
      <c r="AO741" s="1"/>
      <c r="AP741" s="1"/>
      <c r="AQ741" s="1"/>
      <c r="AR741" s="1"/>
      <c r="AS741" s="1"/>
      <c r="AT741" s="1"/>
      <c r="AU741" s="1"/>
    </row>
    <row r="742" ht="10.5" customHeight="1">
      <c r="A742" s="1"/>
      <c r="B742" s="2"/>
      <c r="C742" s="1"/>
      <c r="D742" s="1"/>
      <c r="E742" s="1"/>
      <c r="F742" s="9"/>
      <c r="G742" s="9"/>
      <c r="H742" s="9"/>
      <c r="I742" s="9"/>
      <c r="J742" s="93"/>
      <c r="K742" s="9"/>
      <c r="L742" s="9"/>
      <c r="M742" s="9"/>
      <c r="N742" s="9"/>
      <c r="O742" s="9"/>
      <c r="P742" s="9"/>
      <c r="Q742" s="93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1"/>
      <c r="AL742" s="1"/>
      <c r="AM742" s="1"/>
      <c r="AN742" s="94"/>
      <c r="AO742" s="1"/>
      <c r="AP742" s="1"/>
      <c r="AQ742" s="1"/>
      <c r="AR742" s="1"/>
      <c r="AS742" s="1"/>
      <c r="AT742" s="1"/>
      <c r="AU742" s="1"/>
    </row>
    <row r="743" ht="10.5" customHeight="1">
      <c r="A743" s="1"/>
      <c r="B743" s="2"/>
      <c r="C743" s="1"/>
      <c r="D743" s="1"/>
      <c r="E743" s="1"/>
      <c r="F743" s="9"/>
      <c r="G743" s="9"/>
      <c r="H743" s="9"/>
      <c r="I743" s="9"/>
      <c r="J743" s="93"/>
      <c r="K743" s="9"/>
      <c r="L743" s="9"/>
      <c r="M743" s="9"/>
      <c r="N743" s="9"/>
      <c r="O743" s="9"/>
      <c r="P743" s="9"/>
      <c r="Q743" s="93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1"/>
      <c r="AL743" s="1"/>
      <c r="AM743" s="1"/>
      <c r="AN743" s="94"/>
      <c r="AO743" s="1"/>
      <c r="AP743" s="1"/>
      <c r="AQ743" s="1"/>
      <c r="AR743" s="1"/>
      <c r="AS743" s="1"/>
      <c r="AT743" s="1"/>
      <c r="AU743" s="1"/>
    </row>
    <row r="744" ht="10.5" customHeight="1">
      <c r="A744" s="1"/>
      <c r="B744" s="2"/>
      <c r="C744" s="1"/>
      <c r="D744" s="1"/>
      <c r="E744" s="1"/>
      <c r="F744" s="9"/>
      <c r="G744" s="9"/>
      <c r="H744" s="9"/>
      <c r="I744" s="9"/>
      <c r="J744" s="93"/>
      <c r="K744" s="9"/>
      <c r="L744" s="9"/>
      <c r="M744" s="9"/>
      <c r="N744" s="9"/>
      <c r="O744" s="9"/>
      <c r="P744" s="9"/>
      <c r="Q744" s="93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1"/>
      <c r="AL744" s="1"/>
      <c r="AM744" s="1"/>
      <c r="AN744" s="94"/>
      <c r="AO744" s="1"/>
      <c r="AP744" s="1"/>
      <c r="AQ744" s="1"/>
      <c r="AR744" s="1"/>
      <c r="AS744" s="1"/>
      <c r="AT744" s="1"/>
      <c r="AU744" s="1"/>
    </row>
    <row r="745" ht="10.5" customHeight="1">
      <c r="A745" s="1"/>
      <c r="B745" s="2"/>
      <c r="C745" s="1"/>
      <c r="D745" s="1"/>
      <c r="E745" s="1"/>
      <c r="F745" s="9"/>
      <c r="G745" s="9"/>
      <c r="H745" s="9"/>
      <c r="I745" s="9"/>
      <c r="J745" s="93"/>
      <c r="K745" s="9"/>
      <c r="L745" s="9"/>
      <c r="M745" s="9"/>
      <c r="N745" s="9"/>
      <c r="O745" s="9"/>
      <c r="P745" s="9"/>
      <c r="Q745" s="93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1"/>
      <c r="AL745" s="1"/>
      <c r="AM745" s="1"/>
      <c r="AN745" s="94"/>
      <c r="AO745" s="1"/>
      <c r="AP745" s="1"/>
      <c r="AQ745" s="1"/>
      <c r="AR745" s="1"/>
      <c r="AS745" s="1"/>
      <c r="AT745" s="1"/>
      <c r="AU745" s="1"/>
    </row>
    <row r="746" ht="10.5" customHeight="1">
      <c r="A746" s="1"/>
      <c r="B746" s="2"/>
      <c r="C746" s="1"/>
      <c r="D746" s="1"/>
      <c r="E746" s="1"/>
      <c r="F746" s="9"/>
      <c r="G746" s="9"/>
      <c r="H746" s="9"/>
      <c r="I746" s="9"/>
      <c r="J746" s="93"/>
      <c r="K746" s="9"/>
      <c r="L746" s="9"/>
      <c r="M746" s="9"/>
      <c r="N746" s="9"/>
      <c r="O746" s="9"/>
      <c r="P746" s="9"/>
      <c r="Q746" s="93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1"/>
      <c r="AL746" s="1"/>
      <c r="AM746" s="1"/>
      <c r="AN746" s="94"/>
      <c r="AO746" s="1"/>
      <c r="AP746" s="1"/>
      <c r="AQ746" s="1"/>
      <c r="AR746" s="1"/>
      <c r="AS746" s="1"/>
      <c r="AT746" s="1"/>
      <c r="AU746" s="1"/>
    </row>
    <row r="747" ht="10.5" customHeight="1">
      <c r="A747" s="1"/>
      <c r="B747" s="2"/>
      <c r="C747" s="1"/>
      <c r="D747" s="1"/>
      <c r="E747" s="1"/>
      <c r="F747" s="9"/>
      <c r="G747" s="9"/>
      <c r="H747" s="9"/>
      <c r="I747" s="9"/>
      <c r="J747" s="93"/>
      <c r="K747" s="9"/>
      <c r="L747" s="9"/>
      <c r="M747" s="9"/>
      <c r="N747" s="9"/>
      <c r="O747" s="9"/>
      <c r="P747" s="9"/>
      <c r="Q747" s="93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1"/>
      <c r="AL747" s="1"/>
      <c r="AM747" s="1"/>
      <c r="AN747" s="94"/>
      <c r="AO747" s="1"/>
      <c r="AP747" s="1"/>
      <c r="AQ747" s="1"/>
      <c r="AR747" s="1"/>
      <c r="AS747" s="1"/>
      <c r="AT747" s="1"/>
      <c r="AU747" s="1"/>
    </row>
    <row r="748" ht="10.5" customHeight="1">
      <c r="A748" s="1"/>
      <c r="B748" s="2"/>
      <c r="C748" s="1"/>
      <c r="D748" s="1"/>
      <c r="E748" s="1"/>
      <c r="F748" s="9"/>
      <c r="G748" s="9"/>
      <c r="H748" s="9"/>
      <c r="I748" s="9"/>
      <c r="J748" s="93"/>
      <c r="K748" s="9"/>
      <c r="L748" s="9"/>
      <c r="M748" s="9"/>
      <c r="N748" s="9"/>
      <c r="O748" s="9"/>
      <c r="P748" s="9"/>
      <c r="Q748" s="93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1"/>
      <c r="AL748" s="1"/>
      <c r="AM748" s="1"/>
      <c r="AN748" s="94"/>
      <c r="AO748" s="1"/>
      <c r="AP748" s="1"/>
      <c r="AQ748" s="1"/>
      <c r="AR748" s="1"/>
      <c r="AS748" s="1"/>
      <c r="AT748" s="1"/>
      <c r="AU748" s="1"/>
    </row>
    <row r="749" ht="10.5" customHeight="1">
      <c r="A749" s="1"/>
      <c r="B749" s="2"/>
      <c r="C749" s="1"/>
      <c r="D749" s="1"/>
      <c r="E749" s="1"/>
      <c r="F749" s="9"/>
      <c r="G749" s="9"/>
      <c r="H749" s="9"/>
      <c r="I749" s="9"/>
      <c r="J749" s="93"/>
      <c r="K749" s="9"/>
      <c r="L749" s="9"/>
      <c r="M749" s="9"/>
      <c r="N749" s="9"/>
      <c r="O749" s="9"/>
      <c r="P749" s="9"/>
      <c r="Q749" s="93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1"/>
      <c r="AL749" s="1"/>
      <c r="AM749" s="1"/>
      <c r="AN749" s="94"/>
      <c r="AO749" s="1"/>
      <c r="AP749" s="1"/>
      <c r="AQ749" s="1"/>
      <c r="AR749" s="1"/>
      <c r="AS749" s="1"/>
      <c r="AT749" s="1"/>
      <c r="AU749" s="1"/>
    </row>
    <row r="750" ht="10.5" customHeight="1">
      <c r="A750" s="1"/>
      <c r="B750" s="2"/>
      <c r="C750" s="1"/>
      <c r="D750" s="1"/>
      <c r="E750" s="1"/>
      <c r="F750" s="9"/>
      <c r="G750" s="9"/>
      <c r="H750" s="9"/>
      <c r="I750" s="9"/>
      <c r="J750" s="93"/>
      <c r="K750" s="9"/>
      <c r="L750" s="9"/>
      <c r="M750" s="9"/>
      <c r="N750" s="9"/>
      <c r="O750" s="9"/>
      <c r="P750" s="9"/>
      <c r="Q750" s="93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1"/>
      <c r="AL750" s="1"/>
      <c r="AM750" s="1"/>
      <c r="AN750" s="94"/>
      <c r="AO750" s="1"/>
      <c r="AP750" s="1"/>
      <c r="AQ750" s="1"/>
      <c r="AR750" s="1"/>
      <c r="AS750" s="1"/>
      <c r="AT750" s="1"/>
      <c r="AU750" s="1"/>
    </row>
    <row r="751" ht="10.5" customHeight="1">
      <c r="A751" s="1"/>
      <c r="B751" s="2"/>
      <c r="C751" s="1"/>
      <c r="D751" s="1"/>
      <c r="E751" s="1"/>
      <c r="F751" s="9"/>
      <c r="G751" s="9"/>
      <c r="H751" s="9"/>
      <c r="I751" s="9"/>
      <c r="J751" s="93"/>
      <c r="K751" s="9"/>
      <c r="L751" s="9"/>
      <c r="M751" s="9"/>
      <c r="N751" s="9"/>
      <c r="O751" s="9"/>
      <c r="P751" s="9"/>
      <c r="Q751" s="93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1"/>
      <c r="AL751" s="1"/>
      <c r="AM751" s="1"/>
      <c r="AN751" s="94"/>
      <c r="AO751" s="1"/>
      <c r="AP751" s="1"/>
      <c r="AQ751" s="1"/>
      <c r="AR751" s="1"/>
      <c r="AS751" s="1"/>
      <c r="AT751" s="1"/>
      <c r="AU751" s="1"/>
    </row>
    <row r="752" ht="10.5" customHeight="1">
      <c r="A752" s="1"/>
      <c r="B752" s="2"/>
      <c r="C752" s="1"/>
      <c r="D752" s="1"/>
      <c r="E752" s="1"/>
      <c r="F752" s="9"/>
      <c r="G752" s="9"/>
      <c r="H752" s="9"/>
      <c r="I752" s="9"/>
      <c r="J752" s="93"/>
      <c r="K752" s="9"/>
      <c r="L752" s="9"/>
      <c r="M752" s="9"/>
      <c r="N752" s="9"/>
      <c r="O752" s="9"/>
      <c r="P752" s="9"/>
      <c r="Q752" s="93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1"/>
      <c r="AL752" s="1"/>
      <c r="AM752" s="1"/>
      <c r="AN752" s="94"/>
      <c r="AO752" s="1"/>
      <c r="AP752" s="1"/>
      <c r="AQ752" s="1"/>
      <c r="AR752" s="1"/>
      <c r="AS752" s="1"/>
      <c r="AT752" s="1"/>
      <c r="AU752" s="1"/>
    </row>
    <row r="753" ht="10.5" customHeight="1">
      <c r="A753" s="1"/>
      <c r="B753" s="2"/>
      <c r="C753" s="1"/>
      <c r="D753" s="1"/>
      <c r="E753" s="1"/>
      <c r="F753" s="9"/>
      <c r="G753" s="9"/>
      <c r="H753" s="9"/>
      <c r="I753" s="9"/>
      <c r="J753" s="93"/>
      <c r="K753" s="9"/>
      <c r="L753" s="9"/>
      <c r="M753" s="9"/>
      <c r="N753" s="9"/>
      <c r="O753" s="9"/>
      <c r="P753" s="9"/>
      <c r="Q753" s="93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1"/>
      <c r="AL753" s="1"/>
      <c r="AM753" s="1"/>
      <c r="AN753" s="94"/>
      <c r="AO753" s="1"/>
      <c r="AP753" s="1"/>
      <c r="AQ753" s="1"/>
      <c r="AR753" s="1"/>
      <c r="AS753" s="1"/>
      <c r="AT753" s="1"/>
      <c r="AU753" s="1"/>
    </row>
    <row r="754" ht="10.5" customHeight="1">
      <c r="A754" s="1"/>
      <c r="B754" s="2"/>
      <c r="C754" s="1"/>
      <c r="D754" s="1"/>
      <c r="E754" s="1"/>
      <c r="F754" s="9"/>
      <c r="G754" s="9"/>
      <c r="H754" s="9"/>
      <c r="I754" s="9"/>
      <c r="J754" s="93"/>
      <c r="K754" s="9"/>
      <c r="L754" s="9"/>
      <c r="M754" s="9"/>
      <c r="N754" s="9"/>
      <c r="O754" s="9"/>
      <c r="P754" s="9"/>
      <c r="Q754" s="93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1"/>
      <c r="AL754" s="1"/>
      <c r="AM754" s="1"/>
      <c r="AN754" s="94"/>
      <c r="AO754" s="1"/>
      <c r="AP754" s="1"/>
      <c r="AQ754" s="1"/>
      <c r="AR754" s="1"/>
      <c r="AS754" s="1"/>
      <c r="AT754" s="1"/>
      <c r="AU754" s="1"/>
    </row>
    <row r="755" ht="10.5" customHeight="1">
      <c r="A755" s="1"/>
      <c r="B755" s="2"/>
      <c r="C755" s="1"/>
      <c r="D755" s="1"/>
      <c r="E755" s="1"/>
      <c r="F755" s="9"/>
      <c r="G755" s="9"/>
      <c r="H755" s="9"/>
      <c r="I755" s="9"/>
      <c r="J755" s="93"/>
      <c r="K755" s="9"/>
      <c r="L755" s="9"/>
      <c r="M755" s="9"/>
      <c r="N755" s="9"/>
      <c r="O755" s="9"/>
      <c r="P755" s="9"/>
      <c r="Q755" s="93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1"/>
      <c r="AL755" s="1"/>
      <c r="AM755" s="1"/>
      <c r="AN755" s="94"/>
      <c r="AO755" s="1"/>
      <c r="AP755" s="1"/>
      <c r="AQ755" s="1"/>
      <c r="AR755" s="1"/>
      <c r="AS755" s="1"/>
      <c r="AT755" s="1"/>
      <c r="AU755" s="1"/>
    </row>
    <row r="756" ht="10.5" customHeight="1">
      <c r="A756" s="1"/>
      <c r="B756" s="2"/>
      <c r="C756" s="1"/>
      <c r="D756" s="1"/>
      <c r="E756" s="1"/>
      <c r="F756" s="9"/>
      <c r="G756" s="9"/>
      <c r="H756" s="9"/>
      <c r="I756" s="9"/>
      <c r="J756" s="93"/>
      <c r="K756" s="9"/>
      <c r="L756" s="9"/>
      <c r="M756" s="9"/>
      <c r="N756" s="9"/>
      <c r="O756" s="9"/>
      <c r="P756" s="9"/>
      <c r="Q756" s="93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1"/>
      <c r="AL756" s="1"/>
      <c r="AM756" s="1"/>
      <c r="AN756" s="94"/>
      <c r="AO756" s="1"/>
      <c r="AP756" s="1"/>
      <c r="AQ756" s="1"/>
      <c r="AR756" s="1"/>
      <c r="AS756" s="1"/>
      <c r="AT756" s="1"/>
      <c r="AU756" s="1"/>
    </row>
    <row r="757" ht="10.5" customHeight="1">
      <c r="A757" s="1"/>
      <c r="B757" s="2"/>
      <c r="C757" s="1"/>
      <c r="D757" s="1"/>
      <c r="E757" s="1"/>
      <c r="F757" s="9"/>
      <c r="G757" s="9"/>
      <c r="H757" s="9"/>
      <c r="I757" s="9"/>
      <c r="J757" s="93"/>
      <c r="K757" s="9"/>
      <c r="L757" s="9"/>
      <c r="M757" s="9"/>
      <c r="N757" s="9"/>
      <c r="O757" s="9"/>
      <c r="P757" s="9"/>
      <c r="Q757" s="93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1"/>
      <c r="AL757" s="1"/>
      <c r="AM757" s="1"/>
      <c r="AN757" s="94"/>
      <c r="AO757" s="1"/>
      <c r="AP757" s="1"/>
      <c r="AQ757" s="1"/>
      <c r="AR757" s="1"/>
      <c r="AS757" s="1"/>
      <c r="AT757" s="1"/>
      <c r="AU757" s="1"/>
    </row>
    <row r="758" ht="10.5" customHeight="1">
      <c r="A758" s="1"/>
      <c r="B758" s="2"/>
      <c r="C758" s="1"/>
      <c r="D758" s="1"/>
      <c r="E758" s="1"/>
      <c r="F758" s="9"/>
      <c r="G758" s="9"/>
      <c r="H758" s="9"/>
      <c r="I758" s="9"/>
      <c r="J758" s="93"/>
      <c r="K758" s="9"/>
      <c r="L758" s="9"/>
      <c r="M758" s="9"/>
      <c r="N758" s="9"/>
      <c r="O758" s="9"/>
      <c r="P758" s="9"/>
      <c r="Q758" s="93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1"/>
      <c r="AL758" s="1"/>
      <c r="AM758" s="1"/>
      <c r="AN758" s="94"/>
      <c r="AO758" s="1"/>
      <c r="AP758" s="1"/>
      <c r="AQ758" s="1"/>
      <c r="AR758" s="1"/>
      <c r="AS758" s="1"/>
      <c r="AT758" s="1"/>
      <c r="AU758" s="1"/>
    </row>
    <row r="759" ht="10.5" customHeight="1">
      <c r="A759" s="1"/>
      <c r="B759" s="2"/>
      <c r="C759" s="1"/>
      <c r="D759" s="1"/>
      <c r="E759" s="1"/>
      <c r="F759" s="9"/>
      <c r="G759" s="9"/>
      <c r="H759" s="9"/>
      <c r="I759" s="9"/>
      <c r="J759" s="93"/>
      <c r="K759" s="9"/>
      <c r="L759" s="9"/>
      <c r="M759" s="9"/>
      <c r="N759" s="9"/>
      <c r="O759" s="9"/>
      <c r="P759" s="9"/>
      <c r="Q759" s="93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1"/>
      <c r="AL759" s="1"/>
      <c r="AM759" s="1"/>
      <c r="AN759" s="94"/>
      <c r="AO759" s="1"/>
      <c r="AP759" s="1"/>
      <c r="AQ759" s="1"/>
      <c r="AR759" s="1"/>
      <c r="AS759" s="1"/>
      <c r="AT759" s="1"/>
      <c r="AU759" s="1"/>
    </row>
    <row r="760" ht="10.5" customHeight="1">
      <c r="A760" s="1"/>
      <c r="B760" s="2"/>
      <c r="C760" s="1"/>
      <c r="D760" s="1"/>
      <c r="E760" s="1"/>
      <c r="F760" s="9"/>
      <c r="G760" s="9"/>
      <c r="H760" s="9"/>
      <c r="I760" s="9"/>
      <c r="J760" s="93"/>
      <c r="K760" s="9"/>
      <c r="L760" s="9"/>
      <c r="M760" s="9"/>
      <c r="N760" s="9"/>
      <c r="O760" s="9"/>
      <c r="P760" s="9"/>
      <c r="Q760" s="93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1"/>
      <c r="AL760" s="1"/>
      <c r="AM760" s="1"/>
      <c r="AN760" s="94"/>
      <c r="AO760" s="1"/>
      <c r="AP760" s="1"/>
      <c r="AQ760" s="1"/>
      <c r="AR760" s="1"/>
      <c r="AS760" s="1"/>
      <c r="AT760" s="1"/>
      <c r="AU760" s="1"/>
    </row>
    <row r="761" ht="10.5" customHeight="1">
      <c r="A761" s="1"/>
      <c r="B761" s="2"/>
      <c r="C761" s="1"/>
      <c r="D761" s="1"/>
      <c r="E761" s="1"/>
      <c r="F761" s="9"/>
      <c r="G761" s="9"/>
      <c r="H761" s="9"/>
      <c r="I761" s="9"/>
      <c r="J761" s="93"/>
      <c r="K761" s="9"/>
      <c r="L761" s="9"/>
      <c r="M761" s="9"/>
      <c r="N761" s="9"/>
      <c r="O761" s="9"/>
      <c r="P761" s="9"/>
      <c r="Q761" s="93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1"/>
      <c r="AL761" s="1"/>
      <c r="AM761" s="1"/>
      <c r="AN761" s="94"/>
      <c r="AO761" s="1"/>
      <c r="AP761" s="1"/>
      <c r="AQ761" s="1"/>
      <c r="AR761" s="1"/>
      <c r="AS761" s="1"/>
      <c r="AT761" s="1"/>
      <c r="AU761" s="1"/>
    </row>
    <row r="762" ht="10.5" customHeight="1">
      <c r="A762" s="1"/>
      <c r="B762" s="2"/>
      <c r="C762" s="1"/>
      <c r="D762" s="1"/>
      <c r="E762" s="1"/>
      <c r="F762" s="9"/>
      <c r="G762" s="9"/>
      <c r="H762" s="9"/>
      <c r="I762" s="9"/>
      <c r="J762" s="93"/>
      <c r="K762" s="9"/>
      <c r="L762" s="9"/>
      <c r="M762" s="9"/>
      <c r="N762" s="9"/>
      <c r="O762" s="9"/>
      <c r="P762" s="9"/>
      <c r="Q762" s="93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1"/>
      <c r="AL762" s="1"/>
      <c r="AM762" s="1"/>
      <c r="AN762" s="94"/>
      <c r="AO762" s="1"/>
      <c r="AP762" s="1"/>
      <c r="AQ762" s="1"/>
      <c r="AR762" s="1"/>
      <c r="AS762" s="1"/>
      <c r="AT762" s="1"/>
      <c r="AU762" s="1"/>
    </row>
    <row r="763" ht="10.5" customHeight="1">
      <c r="A763" s="1"/>
      <c r="B763" s="2"/>
      <c r="C763" s="1"/>
      <c r="D763" s="1"/>
      <c r="E763" s="1"/>
      <c r="F763" s="9"/>
      <c r="G763" s="9"/>
      <c r="H763" s="9"/>
      <c r="I763" s="9"/>
      <c r="J763" s="93"/>
      <c r="K763" s="9"/>
      <c r="L763" s="9"/>
      <c r="M763" s="9"/>
      <c r="N763" s="9"/>
      <c r="O763" s="9"/>
      <c r="P763" s="9"/>
      <c r="Q763" s="93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1"/>
      <c r="AL763" s="1"/>
      <c r="AM763" s="1"/>
      <c r="AN763" s="94"/>
      <c r="AO763" s="1"/>
      <c r="AP763" s="1"/>
      <c r="AQ763" s="1"/>
      <c r="AR763" s="1"/>
      <c r="AS763" s="1"/>
      <c r="AT763" s="1"/>
      <c r="AU763" s="1"/>
    </row>
    <row r="764" ht="10.5" customHeight="1">
      <c r="A764" s="1"/>
      <c r="B764" s="2"/>
      <c r="C764" s="1"/>
      <c r="D764" s="1"/>
      <c r="E764" s="1"/>
      <c r="F764" s="9"/>
      <c r="G764" s="9"/>
      <c r="H764" s="9"/>
      <c r="I764" s="9"/>
      <c r="J764" s="93"/>
      <c r="K764" s="9"/>
      <c r="L764" s="9"/>
      <c r="M764" s="9"/>
      <c r="N764" s="9"/>
      <c r="O764" s="9"/>
      <c r="P764" s="9"/>
      <c r="Q764" s="93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1"/>
      <c r="AL764" s="1"/>
      <c r="AM764" s="1"/>
      <c r="AN764" s="94"/>
      <c r="AO764" s="1"/>
      <c r="AP764" s="1"/>
      <c r="AQ764" s="1"/>
      <c r="AR764" s="1"/>
      <c r="AS764" s="1"/>
      <c r="AT764" s="1"/>
      <c r="AU764" s="1"/>
    </row>
    <row r="765" ht="10.5" customHeight="1">
      <c r="A765" s="1"/>
      <c r="B765" s="2"/>
      <c r="C765" s="1"/>
      <c r="D765" s="1"/>
      <c r="E765" s="1"/>
      <c r="F765" s="9"/>
      <c r="G765" s="9"/>
      <c r="H765" s="9"/>
      <c r="I765" s="9"/>
      <c r="J765" s="93"/>
      <c r="K765" s="9"/>
      <c r="L765" s="9"/>
      <c r="M765" s="9"/>
      <c r="N765" s="9"/>
      <c r="O765" s="9"/>
      <c r="P765" s="9"/>
      <c r="Q765" s="93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1"/>
      <c r="AL765" s="1"/>
      <c r="AM765" s="1"/>
      <c r="AN765" s="94"/>
      <c r="AO765" s="1"/>
      <c r="AP765" s="1"/>
      <c r="AQ765" s="1"/>
      <c r="AR765" s="1"/>
      <c r="AS765" s="1"/>
      <c r="AT765" s="1"/>
      <c r="AU765" s="1"/>
    </row>
    <row r="766" ht="10.5" customHeight="1">
      <c r="A766" s="1"/>
      <c r="B766" s="2"/>
      <c r="C766" s="1"/>
      <c r="D766" s="1"/>
      <c r="E766" s="1"/>
      <c r="F766" s="9"/>
      <c r="G766" s="9"/>
      <c r="H766" s="9"/>
      <c r="I766" s="9"/>
      <c r="J766" s="93"/>
      <c r="K766" s="9"/>
      <c r="L766" s="9"/>
      <c r="M766" s="9"/>
      <c r="N766" s="9"/>
      <c r="O766" s="9"/>
      <c r="P766" s="9"/>
      <c r="Q766" s="93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1"/>
      <c r="AL766" s="1"/>
      <c r="AM766" s="1"/>
      <c r="AN766" s="94"/>
      <c r="AO766" s="1"/>
      <c r="AP766" s="1"/>
      <c r="AQ766" s="1"/>
      <c r="AR766" s="1"/>
      <c r="AS766" s="1"/>
      <c r="AT766" s="1"/>
      <c r="AU766" s="1"/>
    </row>
    <row r="767" ht="10.5" customHeight="1">
      <c r="A767" s="1"/>
      <c r="B767" s="2"/>
      <c r="C767" s="1"/>
      <c r="D767" s="1"/>
      <c r="E767" s="1"/>
      <c r="F767" s="9"/>
      <c r="G767" s="9"/>
      <c r="H767" s="9"/>
      <c r="I767" s="9"/>
      <c r="J767" s="93"/>
      <c r="K767" s="9"/>
      <c r="L767" s="9"/>
      <c r="M767" s="9"/>
      <c r="N767" s="9"/>
      <c r="O767" s="9"/>
      <c r="P767" s="9"/>
      <c r="Q767" s="93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1"/>
      <c r="AL767" s="1"/>
      <c r="AM767" s="1"/>
      <c r="AN767" s="94"/>
      <c r="AO767" s="1"/>
      <c r="AP767" s="1"/>
      <c r="AQ767" s="1"/>
      <c r="AR767" s="1"/>
      <c r="AS767" s="1"/>
      <c r="AT767" s="1"/>
      <c r="AU767" s="1"/>
    </row>
    <row r="768" ht="10.5" customHeight="1">
      <c r="A768" s="1"/>
      <c r="B768" s="2"/>
      <c r="C768" s="1"/>
      <c r="D768" s="1"/>
      <c r="E768" s="1"/>
      <c r="F768" s="9"/>
      <c r="G768" s="9"/>
      <c r="H768" s="9"/>
      <c r="I768" s="9"/>
      <c r="J768" s="93"/>
      <c r="K768" s="9"/>
      <c r="L768" s="9"/>
      <c r="M768" s="9"/>
      <c r="N768" s="9"/>
      <c r="O768" s="9"/>
      <c r="P768" s="9"/>
      <c r="Q768" s="93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1"/>
      <c r="AL768" s="1"/>
      <c r="AM768" s="1"/>
      <c r="AN768" s="94"/>
      <c r="AO768" s="1"/>
      <c r="AP768" s="1"/>
      <c r="AQ768" s="1"/>
      <c r="AR768" s="1"/>
      <c r="AS768" s="1"/>
      <c r="AT768" s="1"/>
      <c r="AU768" s="1"/>
    </row>
    <row r="769" ht="10.5" customHeight="1">
      <c r="A769" s="1"/>
      <c r="B769" s="2"/>
      <c r="C769" s="1"/>
      <c r="D769" s="1"/>
      <c r="E769" s="1"/>
      <c r="F769" s="9"/>
      <c r="G769" s="9"/>
      <c r="H769" s="9"/>
      <c r="I769" s="9"/>
      <c r="J769" s="93"/>
      <c r="K769" s="9"/>
      <c r="L769" s="9"/>
      <c r="M769" s="9"/>
      <c r="N769" s="9"/>
      <c r="O769" s="9"/>
      <c r="P769" s="9"/>
      <c r="Q769" s="93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1"/>
      <c r="AL769" s="1"/>
      <c r="AM769" s="1"/>
      <c r="AN769" s="94"/>
      <c r="AO769" s="1"/>
      <c r="AP769" s="1"/>
      <c r="AQ769" s="1"/>
      <c r="AR769" s="1"/>
      <c r="AS769" s="1"/>
      <c r="AT769" s="1"/>
      <c r="AU769" s="1"/>
    </row>
    <row r="770" ht="10.5" customHeight="1">
      <c r="A770" s="1"/>
      <c r="B770" s="2"/>
      <c r="C770" s="1"/>
      <c r="D770" s="1"/>
      <c r="E770" s="1"/>
      <c r="F770" s="9"/>
      <c r="G770" s="9"/>
      <c r="H770" s="9"/>
      <c r="I770" s="9"/>
      <c r="J770" s="93"/>
      <c r="K770" s="9"/>
      <c r="L770" s="9"/>
      <c r="M770" s="9"/>
      <c r="N770" s="9"/>
      <c r="O770" s="9"/>
      <c r="P770" s="9"/>
      <c r="Q770" s="93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1"/>
      <c r="AL770" s="1"/>
      <c r="AM770" s="1"/>
      <c r="AN770" s="94"/>
      <c r="AO770" s="1"/>
      <c r="AP770" s="1"/>
      <c r="AQ770" s="1"/>
      <c r="AR770" s="1"/>
      <c r="AS770" s="1"/>
      <c r="AT770" s="1"/>
      <c r="AU770" s="1"/>
    </row>
    <row r="771" ht="10.5" customHeight="1">
      <c r="A771" s="1"/>
      <c r="B771" s="2"/>
      <c r="C771" s="1"/>
      <c r="D771" s="1"/>
      <c r="E771" s="1"/>
      <c r="F771" s="9"/>
      <c r="G771" s="9"/>
      <c r="H771" s="9"/>
      <c r="I771" s="9"/>
      <c r="J771" s="93"/>
      <c r="K771" s="9"/>
      <c r="L771" s="9"/>
      <c r="M771" s="9"/>
      <c r="N771" s="9"/>
      <c r="O771" s="9"/>
      <c r="P771" s="9"/>
      <c r="Q771" s="93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1"/>
      <c r="AL771" s="1"/>
      <c r="AM771" s="1"/>
      <c r="AN771" s="94"/>
      <c r="AO771" s="1"/>
      <c r="AP771" s="1"/>
      <c r="AQ771" s="1"/>
      <c r="AR771" s="1"/>
      <c r="AS771" s="1"/>
      <c r="AT771" s="1"/>
      <c r="AU771" s="1"/>
    </row>
    <row r="772" ht="10.5" customHeight="1">
      <c r="A772" s="1"/>
      <c r="B772" s="2"/>
      <c r="C772" s="1"/>
      <c r="D772" s="1"/>
      <c r="E772" s="1"/>
      <c r="F772" s="9"/>
      <c r="G772" s="9"/>
      <c r="H772" s="9"/>
      <c r="I772" s="9"/>
      <c r="J772" s="93"/>
      <c r="K772" s="9"/>
      <c r="L772" s="9"/>
      <c r="M772" s="9"/>
      <c r="N772" s="9"/>
      <c r="O772" s="9"/>
      <c r="P772" s="9"/>
      <c r="Q772" s="93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1"/>
      <c r="AL772" s="1"/>
      <c r="AM772" s="1"/>
      <c r="AN772" s="94"/>
      <c r="AO772" s="1"/>
      <c r="AP772" s="1"/>
      <c r="AQ772" s="1"/>
      <c r="AR772" s="1"/>
      <c r="AS772" s="1"/>
      <c r="AT772" s="1"/>
      <c r="AU772" s="1"/>
    </row>
    <row r="773" ht="10.5" customHeight="1">
      <c r="A773" s="1"/>
      <c r="B773" s="2"/>
      <c r="C773" s="1"/>
      <c r="D773" s="1"/>
      <c r="E773" s="1"/>
      <c r="F773" s="9"/>
      <c r="G773" s="9"/>
      <c r="H773" s="9"/>
      <c r="I773" s="9"/>
      <c r="J773" s="93"/>
      <c r="K773" s="9"/>
      <c r="L773" s="9"/>
      <c r="M773" s="9"/>
      <c r="N773" s="9"/>
      <c r="O773" s="9"/>
      <c r="P773" s="9"/>
      <c r="Q773" s="93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1"/>
      <c r="AL773" s="1"/>
      <c r="AM773" s="1"/>
      <c r="AN773" s="94"/>
      <c r="AO773" s="1"/>
      <c r="AP773" s="1"/>
      <c r="AQ773" s="1"/>
      <c r="AR773" s="1"/>
      <c r="AS773" s="1"/>
      <c r="AT773" s="1"/>
      <c r="AU773" s="1"/>
    </row>
    <row r="774" ht="10.5" customHeight="1">
      <c r="A774" s="1"/>
      <c r="B774" s="2"/>
      <c r="C774" s="1"/>
      <c r="D774" s="1"/>
      <c r="E774" s="1"/>
      <c r="F774" s="9"/>
      <c r="G774" s="9"/>
      <c r="H774" s="9"/>
      <c r="I774" s="9"/>
      <c r="J774" s="93"/>
      <c r="K774" s="9"/>
      <c r="L774" s="9"/>
      <c r="M774" s="9"/>
      <c r="N774" s="9"/>
      <c r="O774" s="9"/>
      <c r="P774" s="9"/>
      <c r="Q774" s="93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1"/>
      <c r="AL774" s="1"/>
      <c r="AM774" s="1"/>
      <c r="AN774" s="94"/>
      <c r="AO774" s="1"/>
      <c r="AP774" s="1"/>
      <c r="AQ774" s="1"/>
      <c r="AR774" s="1"/>
      <c r="AS774" s="1"/>
      <c r="AT774" s="1"/>
      <c r="AU774" s="1"/>
    </row>
    <row r="775" ht="10.5" customHeight="1">
      <c r="A775" s="1"/>
      <c r="B775" s="2"/>
      <c r="C775" s="1"/>
      <c r="D775" s="1"/>
      <c r="E775" s="1"/>
      <c r="F775" s="9"/>
      <c r="G775" s="9"/>
      <c r="H775" s="9"/>
      <c r="I775" s="9"/>
      <c r="J775" s="93"/>
      <c r="K775" s="9"/>
      <c r="L775" s="9"/>
      <c r="M775" s="9"/>
      <c r="N775" s="9"/>
      <c r="O775" s="9"/>
      <c r="P775" s="9"/>
      <c r="Q775" s="93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1"/>
      <c r="AL775" s="1"/>
      <c r="AM775" s="1"/>
      <c r="AN775" s="94"/>
      <c r="AO775" s="1"/>
      <c r="AP775" s="1"/>
      <c r="AQ775" s="1"/>
      <c r="AR775" s="1"/>
      <c r="AS775" s="1"/>
      <c r="AT775" s="1"/>
      <c r="AU775" s="1"/>
    </row>
    <row r="776" ht="10.5" customHeight="1">
      <c r="A776" s="1"/>
      <c r="B776" s="2"/>
      <c r="C776" s="1"/>
      <c r="D776" s="1"/>
      <c r="E776" s="1"/>
      <c r="F776" s="9"/>
      <c r="G776" s="9"/>
      <c r="H776" s="9"/>
      <c r="I776" s="9"/>
      <c r="J776" s="93"/>
      <c r="K776" s="9"/>
      <c r="L776" s="9"/>
      <c r="M776" s="9"/>
      <c r="N776" s="9"/>
      <c r="O776" s="9"/>
      <c r="P776" s="9"/>
      <c r="Q776" s="93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1"/>
      <c r="AL776" s="1"/>
      <c r="AM776" s="1"/>
      <c r="AN776" s="94"/>
      <c r="AO776" s="1"/>
      <c r="AP776" s="1"/>
      <c r="AQ776" s="1"/>
      <c r="AR776" s="1"/>
      <c r="AS776" s="1"/>
      <c r="AT776" s="1"/>
      <c r="AU776" s="1"/>
    </row>
    <row r="777" ht="10.5" customHeight="1">
      <c r="A777" s="1"/>
      <c r="B777" s="2"/>
      <c r="C777" s="1"/>
      <c r="D777" s="1"/>
      <c r="E777" s="1"/>
      <c r="F777" s="9"/>
      <c r="G777" s="9"/>
      <c r="H777" s="9"/>
      <c r="I777" s="9"/>
      <c r="J777" s="93"/>
      <c r="K777" s="9"/>
      <c r="L777" s="9"/>
      <c r="M777" s="9"/>
      <c r="N777" s="9"/>
      <c r="O777" s="9"/>
      <c r="P777" s="9"/>
      <c r="Q777" s="93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1"/>
      <c r="AL777" s="1"/>
      <c r="AM777" s="1"/>
      <c r="AN777" s="94"/>
      <c r="AO777" s="1"/>
      <c r="AP777" s="1"/>
      <c r="AQ777" s="1"/>
      <c r="AR777" s="1"/>
      <c r="AS777" s="1"/>
      <c r="AT777" s="1"/>
      <c r="AU777" s="1"/>
    </row>
    <row r="778" ht="10.5" customHeight="1">
      <c r="A778" s="1"/>
      <c r="B778" s="2"/>
      <c r="C778" s="1"/>
      <c r="D778" s="1"/>
      <c r="E778" s="1"/>
      <c r="F778" s="9"/>
      <c r="G778" s="9"/>
      <c r="H778" s="9"/>
      <c r="I778" s="9"/>
      <c r="J778" s="93"/>
      <c r="K778" s="9"/>
      <c r="L778" s="9"/>
      <c r="M778" s="9"/>
      <c r="N778" s="9"/>
      <c r="O778" s="9"/>
      <c r="P778" s="9"/>
      <c r="Q778" s="93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1"/>
      <c r="AL778" s="1"/>
      <c r="AM778" s="1"/>
      <c r="AN778" s="94"/>
      <c r="AO778" s="1"/>
      <c r="AP778" s="1"/>
      <c r="AQ778" s="1"/>
      <c r="AR778" s="1"/>
      <c r="AS778" s="1"/>
      <c r="AT778" s="1"/>
      <c r="AU778" s="1"/>
    </row>
    <row r="779" ht="10.5" customHeight="1">
      <c r="A779" s="1"/>
      <c r="B779" s="2"/>
      <c r="C779" s="1"/>
      <c r="D779" s="1"/>
      <c r="E779" s="1"/>
      <c r="F779" s="9"/>
      <c r="G779" s="9"/>
      <c r="H779" s="9"/>
      <c r="I779" s="9"/>
      <c r="J779" s="93"/>
      <c r="K779" s="9"/>
      <c r="L779" s="9"/>
      <c r="M779" s="9"/>
      <c r="N779" s="9"/>
      <c r="O779" s="9"/>
      <c r="P779" s="9"/>
      <c r="Q779" s="93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1"/>
      <c r="AL779" s="1"/>
      <c r="AM779" s="1"/>
      <c r="AN779" s="94"/>
      <c r="AO779" s="1"/>
      <c r="AP779" s="1"/>
      <c r="AQ779" s="1"/>
      <c r="AR779" s="1"/>
      <c r="AS779" s="1"/>
      <c r="AT779" s="1"/>
      <c r="AU779" s="1"/>
    </row>
    <row r="780" ht="10.5" customHeight="1">
      <c r="A780" s="1"/>
      <c r="B780" s="2"/>
      <c r="C780" s="1"/>
      <c r="D780" s="1"/>
      <c r="E780" s="1"/>
      <c r="F780" s="9"/>
      <c r="G780" s="9"/>
      <c r="H780" s="9"/>
      <c r="I780" s="9"/>
      <c r="J780" s="93"/>
      <c r="K780" s="9"/>
      <c r="L780" s="9"/>
      <c r="M780" s="9"/>
      <c r="N780" s="9"/>
      <c r="O780" s="9"/>
      <c r="P780" s="9"/>
      <c r="Q780" s="93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1"/>
      <c r="AL780" s="1"/>
      <c r="AM780" s="1"/>
      <c r="AN780" s="94"/>
      <c r="AO780" s="1"/>
      <c r="AP780" s="1"/>
      <c r="AQ780" s="1"/>
      <c r="AR780" s="1"/>
      <c r="AS780" s="1"/>
      <c r="AT780" s="1"/>
      <c r="AU780" s="1"/>
    </row>
    <row r="781" ht="10.5" customHeight="1">
      <c r="A781" s="1"/>
      <c r="B781" s="2"/>
      <c r="C781" s="1"/>
      <c r="D781" s="1"/>
      <c r="E781" s="1"/>
      <c r="F781" s="9"/>
      <c r="G781" s="9"/>
      <c r="H781" s="9"/>
      <c r="I781" s="9"/>
      <c r="J781" s="93"/>
      <c r="K781" s="9"/>
      <c r="L781" s="9"/>
      <c r="M781" s="9"/>
      <c r="N781" s="9"/>
      <c r="O781" s="9"/>
      <c r="P781" s="9"/>
      <c r="Q781" s="93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1"/>
      <c r="AL781" s="1"/>
      <c r="AM781" s="1"/>
      <c r="AN781" s="94"/>
      <c r="AO781" s="1"/>
      <c r="AP781" s="1"/>
      <c r="AQ781" s="1"/>
      <c r="AR781" s="1"/>
      <c r="AS781" s="1"/>
      <c r="AT781" s="1"/>
      <c r="AU781" s="1"/>
    </row>
    <row r="782" ht="10.5" customHeight="1">
      <c r="A782" s="1"/>
      <c r="B782" s="2"/>
      <c r="C782" s="1"/>
      <c r="D782" s="1"/>
      <c r="E782" s="1"/>
      <c r="F782" s="9"/>
      <c r="G782" s="9"/>
      <c r="H782" s="9"/>
      <c r="I782" s="9"/>
      <c r="J782" s="93"/>
      <c r="K782" s="9"/>
      <c r="L782" s="9"/>
      <c r="M782" s="9"/>
      <c r="N782" s="9"/>
      <c r="O782" s="9"/>
      <c r="P782" s="9"/>
      <c r="Q782" s="93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1"/>
      <c r="AL782" s="1"/>
      <c r="AM782" s="1"/>
      <c r="AN782" s="94"/>
      <c r="AO782" s="1"/>
      <c r="AP782" s="1"/>
      <c r="AQ782" s="1"/>
      <c r="AR782" s="1"/>
      <c r="AS782" s="1"/>
      <c r="AT782" s="1"/>
      <c r="AU782" s="1"/>
    </row>
    <row r="783" ht="10.5" customHeight="1">
      <c r="A783" s="1"/>
      <c r="B783" s="2"/>
      <c r="C783" s="1"/>
      <c r="D783" s="1"/>
      <c r="E783" s="1"/>
      <c r="F783" s="9"/>
      <c r="G783" s="9"/>
      <c r="H783" s="9"/>
      <c r="I783" s="9"/>
      <c r="J783" s="93"/>
      <c r="K783" s="9"/>
      <c r="L783" s="9"/>
      <c r="M783" s="9"/>
      <c r="N783" s="9"/>
      <c r="O783" s="9"/>
      <c r="P783" s="9"/>
      <c r="Q783" s="93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1"/>
      <c r="AL783" s="1"/>
      <c r="AM783" s="1"/>
      <c r="AN783" s="94"/>
      <c r="AO783" s="1"/>
      <c r="AP783" s="1"/>
      <c r="AQ783" s="1"/>
      <c r="AR783" s="1"/>
      <c r="AS783" s="1"/>
      <c r="AT783" s="1"/>
      <c r="AU783" s="1"/>
    </row>
    <row r="784" ht="10.5" customHeight="1">
      <c r="A784" s="1"/>
      <c r="B784" s="2"/>
      <c r="C784" s="1"/>
      <c r="D784" s="1"/>
      <c r="E784" s="1"/>
      <c r="F784" s="9"/>
      <c r="G784" s="9"/>
      <c r="H784" s="9"/>
      <c r="I784" s="9"/>
      <c r="J784" s="93"/>
      <c r="K784" s="9"/>
      <c r="L784" s="9"/>
      <c r="M784" s="9"/>
      <c r="N784" s="9"/>
      <c r="O784" s="9"/>
      <c r="P784" s="9"/>
      <c r="Q784" s="93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1"/>
      <c r="AL784" s="1"/>
      <c r="AM784" s="1"/>
      <c r="AN784" s="94"/>
      <c r="AO784" s="1"/>
      <c r="AP784" s="1"/>
      <c r="AQ784" s="1"/>
      <c r="AR784" s="1"/>
      <c r="AS784" s="1"/>
      <c r="AT784" s="1"/>
      <c r="AU784" s="1"/>
    </row>
    <row r="785" ht="10.5" customHeight="1">
      <c r="A785" s="1"/>
      <c r="B785" s="2"/>
      <c r="C785" s="1"/>
      <c r="D785" s="1"/>
      <c r="E785" s="1"/>
      <c r="F785" s="9"/>
      <c r="G785" s="9"/>
      <c r="H785" s="9"/>
      <c r="I785" s="9"/>
      <c r="J785" s="93"/>
      <c r="K785" s="9"/>
      <c r="L785" s="9"/>
      <c r="M785" s="9"/>
      <c r="N785" s="9"/>
      <c r="O785" s="9"/>
      <c r="P785" s="9"/>
      <c r="Q785" s="93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1"/>
      <c r="AL785" s="1"/>
      <c r="AM785" s="1"/>
      <c r="AN785" s="94"/>
      <c r="AO785" s="1"/>
      <c r="AP785" s="1"/>
      <c r="AQ785" s="1"/>
      <c r="AR785" s="1"/>
      <c r="AS785" s="1"/>
      <c r="AT785" s="1"/>
      <c r="AU785" s="1"/>
    </row>
    <row r="786" ht="10.5" customHeight="1">
      <c r="A786" s="1"/>
      <c r="B786" s="2"/>
      <c r="C786" s="1"/>
      <c r="D786" s="1"/>
      <c r="E786" s="1"/>
      <c r="F786" s="9"/>
      <c r="G786" s="9"/>
      <c r="H786" s="9"/>
      <c r="I786" s="9"/>
      <c r="J786" s="93"/>
      <c r="K786" s="9"/>
      <c r="L786" s="9"/>
      <c r="M786" s="9"/>
      <c r="N786" s="9"/>
      <c r="O786" s="9"/>
      <c r="P786" s="9"/>
      <c r="Q786" s="93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1"/>
      <c r="AL786" s="1"/>
      <c r="AM786" s="1"/>
      <c r="AN786" s="94"/>
      <c r="AO786" s="1"/>
      <c r="AP786" s="1"/>
      <c r="AQ786" s="1"/>
      <c r="AR786" s="1"/>
      <c r="AS786" s="1"/>
      <c r="AT786" s="1"/>
      <c r="AU786" s="1"/>
    </row>
    <row r="787" ht="10.5" customHeight="1">
      <c r="A787" s="1"/>
      <c r="B787" s="2"/>
      <c r="C787" s="1"/>
      <c r="D787" s="1"/>
      <c r="E787" s="1"/>
      <c r="F787" s="9"/>
      <c r="G787" s="9"/>
      <c r="H787" s="9"/>
      <c r="I787" s="9"/>
      <c r="J787" s="93"/>
      <c r="K787" s="9"/>
      <c r="L787" s="9"/>
      <c r="M787" s="9"/>
      <c r="N787" s="9"/>
      <c r="O787" s="9"/>
      <c r="P787" s="9"/>
      <c r="Q787" s="93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1"/>
      <c r="AL787" s="1"/>
      <c r="AM787" s="1"/>
      <c r="AN787" s="94"/>
      <c r="AO787" s="1"/>
      <c r="AP787" s="1"/>
      <c r="AQ787" s="1"/>
      <c r="AR787" s="1"/>
      <c r="AS787" s="1"/>
      <c r="AT787" s="1"/>
      <c r="AU787" s="1"/>
    </row>
    <row r="788" ht="10.5" customHeight="1">
      <c r="A788" s="1"/>
      <c r="B788" s="2"/>
      <c r="C788" s="1"/>
      <c r="D788" s="1"/>
      <c r="E788" s="1"/>
      <c r="F788" s="9"/>
      <c r="G788" s="9"/>
      <c r="H788" s="9"/>
      <c r="I788" s="9"/>
      <c r="J788" s="93"/>
      <c r="K788" s="9"/>
      <c r="L788" s="9"/>
      <c r="M788" s="9"/>
      <c r="N788" s="9"/>
      <c r="O788" s="9"/>
      <c r="P788" s="9"/>
      <c r="Q788" s="93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1"/>
      <c r="AL788" s="1"/>
      <c r="AM788" s="1"/>
      <c r="AN788" s="94"/>
      <c r="AO788" s="1"/>
      <c r="AP788" s="1"/>
      <c r="AQ788" s="1"/>
      <c r="AR788" s="1"/>
      <c r="AS788" s="1"/>
      <c r="AT788" s="1"/>
      <c r="AU788" s="1"/>
    </row>
    <row r="789" ht="10.5" customHeight="1">
      <c r="A789" s="1"/>
      <c r="B789" s="2"/>
      <c r="C789" s="1"/>
      <c r="D789" s="1"/>
      <c r="E789" s="1"/>
      <c r="F789" s="9"/>
      <c r="G789" s="9"/>
      <c r="H789" s="9"/>
      <c r="I789" s="9"/>
      <c r="J789" s="93"/>
      <c r="K789" s="9"/>
      <c r="L789" s="9"/>
      <c r="M789" s="9"/>
      <c r="N789" s="9"/>
      <c r="O789" s="9"/>
      <c r="P789" s="9"/>
      <c r="Q789" s="93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1"/>
      <c r="AL789" s="1"/>
      <c r="AM789" s="1"/>
      <c r="AN789" s="94"/>
      <c r="AO789" s="1"/>
      <c r="AP789" s="1"/>
      <c r="AQ789" s="1"/>
      <c r="AR789" s="1"/>
      <c r="AS789" s="1"/>
      <c r="AT789" s="1"/>
      <c r="AU789" s="1"/>
    </row>
    <row r="790" ht="10.5" customHeight="1">
      <c r="A790" s="1"/>
      <c r="B790" s="2"/>
      <c r="C790" s="1"/>
      <c r="D790" s="1"/>
      <c r="E790" s="1"/>
      <c r="F790" s="9"/>
      <c r="G790" s="9"/>
      <c r="H790" s="9"/>
      <c r="I790" s="9"/>
      <c r="J790" s="93"/>
      <c r="K790" s="9"/>
      <c r="L790" s="9"/>
      <c r="M790" s="9"/>
      <c r="N790" s="9"/>
      <c r="O790" s="9"/>
      <c r="P790" s="9"/>
      <c r="Q790" s="93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1"/>
      <c r="AL790" s="1"/>
      <c r="AM790" s="1"/>
      <c r="AN790" s="94"/>
      <c r="AO790" s="1"/>
      <c r="AP790" s="1"/>
      <c r="AQ790" s="1"/>
      <c r="AR790" s="1"/>
      <c r="AS790" s="1"/>
      <c r="AT790" s="1"/>
      <c r="AU790" s="1"/>
    </row>
    <row r="791" ht="10.5" customHeight="1">
      <c r="A791" s="1"/>
      <c r="B791" s="2"/>
      <c r="C791" s="1"/>
      <c r="D791" s="1"/>
      <c r="E791" s="1"/>
      <c r="F791" s="9"/>
      <c r="G791" s="9"/>
      <c r="H791" s="9"/>
      <c r="I791" s="9"/>
      <c r="J791" s="93"/>
      <c r="K791" s="9"/>
      <c r="L791" s="9"/>
      <c r="M791" s="9"/>
      <c r="N791" s="9"/>
      <c r="O791" s="9"/>
      <c r="P791" s="9"/>
      <c r="Q791" s="93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1"/>
      <c r="AL791" s="1"/>
      <c r="AM791" s="1"/>
      <c r="AN791" s="94"/>
      <c r="AO791" s="1"/>
      <c r="AP791" s="1"/>
      <c r="AQ791" s="1"/>
      <c r="AR791" s="1"/>
      <c r="AS791" s="1"/>
      <c r="AT791" s="1"/>
      <c r="AU791" s="1"/>
    </row>
    <row r="792" ht="10.5" customHeight="1">
      <c r="A792" s="1"/>
      <c r="B792" s="2"/>
      <c r="C792" s="1"/>
      <c r="D792" s="1"/>
      <c r="E792" s="1"/>
      <c r="F792" s="9"/>
      <c r="G792" s="9"/>
      <c r="H792" s="9"/>
      <c r="I792" s="9"/>
      <c r="J792" s="93"/>
      <c r="K792" s="9"/>
      <c r="L792" s="9"/>
      <c r="M792" s="9"/>
      <c r="N792" s="9"/>
      <c r="O792" s="9"/>
      <c r="P792" s="9"/>
      <c r="Q792" s="93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1"/>
      <c r="AL792" s="1"/>
      <c r="AM792" s="1"/>
      <c r="AN792" s="94"/>
      <c r="AO792" s="1"/>
      <c r="AP792" s="1"/>
      <c r="AQ792" s="1"/>
      <c r="AR792" s="1"/>
      <c r="AS792" s="1"/>
      <c r="AT792" s="1"/>
      <c r="AU792" s="1"/>
    </row>
    <row r="793" ht="10.5" customHeight="1">
      <c r="A793" s="1"/>
      <c r="B793" s="2"/>
      <c r="C793" s="1"/>
      <c r="D793" s="1"/>
      <c r="E793" s="1"/>
      <c r="F793" s="9"/>
      <c r="G793" s="9"/>
      <c r="H793" s="9"/>
      <c r="I793" s="9"/>
      <c r="J793" s="93"/>
      <c r="K793" s="9"/>
      <c r="L793" s="9"/>
      <c r="M793" s="9"/>
      <c r="N793" s="9"/>
      <c r="O793" s="9"/>
      <c r="P793" s="9"/>
      <c r="Q793" s="93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1"/>
      <c r="AL793" s="1"/>
      <c r="AM793" s="1"/>
      <c r="AN793" s="94"/>
      <c r="AO793" s="1"/>
      <c r="AP793" s="1"/>
      <c r="AQ793" s="1"/>
      <c r="AR793" s="1"/>
      <c r="AS793" s="1"/>
      <c r="AT793" s="1"/>
      <c r="AU793" s="1"/>
    </row>
    <row r="794" ht="10.5" customHeight="1">
      <c r="A794" s="1"/>
      <c r="B794" s="2"/>
      <c r="C794" s="1"/>
      <c r="D794" s="1"/>
      <c r="E794" s="1"/>
      <c r="F794" s="9"/>
      <c r="G794" s="9"/>
      <c r="H794" s="9"/>
      <c r="I794" s="9"/>
      <c r="J794" s="93"/>
      <c r="K794" s="9"/>
      <c r="L794" s="9"/>
      <c r="M794" s="9"/>
      <c r="N794" s="9"/>
      <c r="O794" s="9"/>
      <c r="P794" s="9"/>
      <c r="Q794" s="93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1"/>
      <c r="AL794" s="1"/>
      <c r="AM794" s="1"/>
      <c r="AN794" s="94"/>
      <c r="AO794" s="1"/>
      <c r="AP794" s="1"/>
      <c r="AQ794" s="1"/>
      <c r="AR794" s="1"/>
      <c r="AS794" s="1"/>
      <c r="AT794" s="1"/>
      <c r="AU794" s="1"/>
    </row>
    <row r="795" ht="10.5" customHeight="1">
      <c r="A795" s="1"/>
      <c r="B795" s="2"/>
      <c r="C795" s="1"/>
      <c r="D795" s="1"/>
      <c r="E795" s="1"/>
      <c r="F795" s="9"/>
      <c r="G795" s="9"/>
      <c r="H795" s="9"/>
      <c r="I795" s="9"/>
      <c r="J795" s="93"/>
      <c r="K795" s="9"/>
      <c r="L795" s="9"/>
      <c r="M795" s="9"/>
      <c r="N795" s="9"/>
      <c r="O795" s="9"/>
      <c r="P795" s="9"/>
      <c r="Q795" s="93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1"/>
      <c r="AL795" s="1"/>
      <c r="AM795" s="1"/>
      <c r="AN795" s="94"/>
      <c r="AO795" s="1"/>
      <c r="AP795" s="1"/>
      <c r="AQ795" s="1"/>
      <c r="AR795" s="1"/>
      <c r="AS795" s="1"/>
      <c r="AT795" s="1"/>
      <c r="AU795" s="1"/>
    </row>
    <row r="796" ht="10.5" customHeight="1">
      <c r="A796" s="1"/>
      <c r="B796" s="2"/>
      <c r="C796" s="1"/>
      <c r="D796" s="1"/>
      <c r="E796" s="1"/>
      <c r="F796" s="9"/>
      <c r="G796" s="9"/>
      <c r="H796" s="9"/>
      <c r="I796" s="9"/>
      <c r="J796" s="93"/>
      <c r="K796" s="9"/>
      <c r="L796" s="9"/>
      <c r="M796" s="9"/>
      <c r="N796" s="9"/>
      <c r="O796" s="9"/>
      <c r="P796" s="9"/>
      <c r="Q796" s="93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1"/>
      <c r="AL796" s="1"/>
      <c r="AM796" s="1"/>
      <c r="AN796" s="94"/>
      <c r="AO796" s="1"/>
      <c r="AP796" s="1"/>
      <c r="AQ796" s="1"/>
      <c r="AR796" s="1"/>
      <c r="AS796" s="1"/>
      <c r="AT796" s="1"/>
      <c r="AU796" s="1"/>
    </row>
    <row r="797" ht="10.5" customHeight="1">
      <c r="A797" s="1"/>
      <c r="B797" s="2"/>
      <c r="C797" s="1"/>
      <c r="D797" s="1"/>
      <c r="E797" s="1"/>
      <c r="F797" s="9"/>
      <c r="G797" s="9"/>
      <c r="H797" s="9"/>
      <c r="I797" s="9"/>
      <c r="J797" s="93"/>
      <c r="K797" s="9"/>
      <c r="L797" s="9"/>
      <c r="M797" s="9"/>
      <c r="N797" s="9"/>
      <c r="O797" s="9"/>
      <c r="P797" s="9"/>
      <c r="Q797" s="93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1"/>
      <c r="AL797" s="1"/>
      <c r="AM797" s="1"/>
      <c r="AN797" s="94"/>
      <c r="AO797" s="1"/>
      <c r="AP797" s="1"/>
      <c r="AQ797" s="1"/>
      <c r="AR797" s="1"/>
      <c r="AS797" s="1"/>
      <c r="AT797" s="1"/>
      <c r="AU797" s="1"/>
    </row>
    <row r="798" ht="10.5" customHeight="1">
      <c r="A798" s="1"/>
      <c r="B798" s="2"/>
      <c r="C798" s="1"/>
      <c r="D798" s="1"/>
      <c r="E798" s="1"/>
      <c r="F798" s="9"/>
      <c r="G798" s="9"/>
      <c r="H798" s="9"/>
      <c r="I798" s="9"/>
      <c r="J798" s="93"/>
      <c r="K798" s="9"/>
      <c r="L798" s="9"/>
      <c r="M798" s="9"/>
      <c r="N798" s="9"/>
      <c r="O798" s="9"/>
      <c r="P798" s="9"/>
      <c r="Q798" s="93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1"/>
      <c r="AL798" s="1"/>
      <c r="AM798" s="1"/>
      <c r="AN798" s="94"/>
      <c r="AO798" s="1"/>
      <c r="AP798" s="1"/>
      <c r="AQ798" s="1"/>
      <c r="AR798" s="1"/>
      <c r="AS798" s="1"/>
      <c r="AT798" s="1"/>
      <c r="AU798" s="1"/>
    </row>
    <row r="799" ht="10.5" customHeight="1">
      <c r="A799" s="1"/>
      <c r="B799" s="2"/>
      <c r="C799" s="1"/>
      <c r="D799" s="1"/>
      <c r="E799" s="1"/>
      <c r="F799" s="9"/>
      <c r="G799" s="9"/>
      <c r="H799" s="9"/>
      <c r="I799" s="9"/>
      <c r="J799" s="93"/>
      <c r="K799" s="9"/>
      <c r="L799" s="9"/>
      <c r="M799" s="9"/>
      <c r="N799" s="9"/>
      <c r="O799" s="9"/>
      <c r="P799" s="9"/>
      <c r="Q799" s="93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1"/>
      <c r="AL799" s="1"/>
      <c r="AM799" s="1"/>
      <c r="AN799" s="94"/>
      <c r="AO799" s="1"/>
      <c r="AP799" s="1"/>
      <c r="AQ799" s="1"/>
      <c r="AR799" s="1"/>
      <c r="AS799" s="1"/>
      <c r="AT799" s="1"/>
      <c r="AU799" s="1"/>
    </row>
    <row r="800" ht="10.5" customHeight="1">
      <c r="A800" s="1"/>
      <c r="B800" s="2"/>
      <c r="C800" s="1"/>
      <c r="D800" s="1"/>
      <c r="E800" s="1"/>
      <c r="F800" s="9"/>
      <c r="G800" s="9"/>
      <c r="H800" s="9"/>
      <c r="I800" s="9"/>
      <c r="J800" s="93"/>
      <c r="K800" s="9"/>
      <c r="L800" s="9"/>
      <c r="M800" s="9"/>
      <c r="N800" s="9"/>
      <c r="O800" s="9"/>
      <c r="P800" s="9"/>
      <c r="Q800" s="93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1"/>
      <c r="AL800" s="1"/>
      <c r="AM800" s="1"/>
      <c r="AN800" s="94"/>
      <c r="AO800" s="1"/>
      <c r="AP800" s="1"/>
      <c r="AQ800" s="1"/>
      <c r="AR800" s="1"/>
      <c r="AS800" s="1"/>
      <c r="AT800" s="1"/>
      <c r="AU800" s="1"/>
    </row>
    <row r="801" ht="10.5" customHeight="1">
      <c r="A801" s="1"/>
      <c r="B801" s="2"/>
      <c r="C801" s="1"/>
      <c r="D801" s="1"/>
      <c r="E801" s="1"/>
      <c r="F801" s="9"/>
      <c r="G801" s="9"/>
      <c r="H801" s="9"/>
      <c r="I801" s="9"/>
      <c r="J801" s="93"/>
      <c r="K801" s="9"/>
      <c r="L801" s="9"/>
      <c r="M801" s="9"/>
      <c r="N801" s="9"/>
      <c r="O801" s="9"/>
      <c r="P801" s="9"/>
      <c r="Q801" s="93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1"/>
      <c r="AL801" s="1"/>
      <c r="AM801" s="1"/>
      <c r="AN801" s="94"/>
      <c r="AO801" s="1"/>
      <c r="AP801" s="1"/>
      <c r="AQ801" s="1"/>
      <c r="AR801" s="1"/>
      <c r="AS801" s="1"/>
      <c r="AT801" s="1"/>
      <c r="AU801" s="1"/>
    </row>
    <row r="802" ht="10.5" customHeight="1">
      <c r="A802" s="1"/>
      <c r="B802" s="2"/>
      <c r="C802" s="1"/>
      <c r="D802" s="1"/>
      <c r="E802" s="1"/>
      <c r="F802" s="9"/>
      <c r="G802" s="9"/>
      <c r="H802" s="9"/>
      <c r="I802" s="9"/>
      <c r="J802" s="93"/>
      <c r="K802" s="9"/>
      <c r="L802" s="9"/>
      <c r="M802" s="9"/>
      <c r="N802" s="9"/>
      <c r="O802" s="9"/>
      <c r="P802" s="9"/>
      <c r="Q802" s="93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1"/>
      <c r="AL802" s="1"/>
      <c r="AM802" s="1"/>
      <c r="AN802" s="94"/>
      <c r="AO802" s="1"/>
      <c r="AP802" s="1"/>
      <c r="AQ802" s="1"/>
      <c r="AR802" s="1"/>
      <c r="AS802" s="1"/>
      <c r="AT802" s="1"/>
      <c r="AU802" s="1"/>
    </row>
    <row r="803" ht="10.5" customHeight="1">
      <c r="A803" s="1"/>
      <c r="B803" s="2"/>
      <c r="C803" s="1"/>
      <c r="D803" s="1"/>
      <c r="E803" s="1"/>
      <c r="F803" s="9"/>
      <c r="G803" s="9"/>
      <c r="H803" s="9"/>
      <c r="I803" s="9"/>
      <c r="J803" s="93"/>
      <c r="K803" s="9"/>
      <c r="L803" s="9"/>
      <c r="M803" s="9"/>
      <c r="N803" s="9"/>
      <c r="O803" s="9"/>
      <c r="P803" s="9"/>
      <c r="Q803" s="93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1"/>
      <c r="AL803" s="1"/>
      <c r="AM803" s="1"/>
      <c r="AN803" s="94"/>
      <c r="AO803" s="1"/>
      <c r="AP803" s="1"/>
      <c r="AQ803" s="1"/>
      <c r="AR803" s="1"/>
      <c r="AS803" s="1"/>
      <c r="AT803" s="1"/>
      <c r="AU803" s="1"/>
    </row>
    <row r="804" ht="10.5" customHeight="1">
      <c r="A804" s="1"/>
      <c r="B804" s="2"/>
      <c r="C804" s="1"/>
      <c r="D804" s="1"/>
      <c r="E804" s="1"/>
      <c r="F804" s="9"/>
      <c r="G804" s="9"/>
      <c r="H804" s="9"/>
      <c r="I804" s="9"/>
      <c r="J804" s="93"/>
      <c r="K804" s="9"/>
      <c r="L804" s="9"/>
      <c r="M804" s="9"/>
      <c r="N804" s="9"/>
      <c r="O804" s="9"/>
      <c r="P804" s="9"/>
      <c r="Q804" s="93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1"/>
      <c r="AL804" s="1"/>
      <c r="AM804" s="1"/>
      <c r="AN804" s="94"/>
      <c r="AO804" s="1"/>
      <c r="AP804" s="1"/>
      <c r="AQ804" s="1"/>
      <c r="AR804" s="1"/>
      <c r="AS804" s="1"/>
      <c r="AT804" s="1"/>
      <c r="AU804" s="1"/>
    </row>
    <row r="805" ht="10.5" customHeight="1">
      <c r="A805" s="1"/>
      <c r="B805" s="2"/>
      <c r="C805" s="1"/>
      <c r="D805" s="1"/>
      <c r="E805" s="1"/>
      <c r="F805" s="9"/>
      <c r="G805" s="9"/>
      <c r="H805" s="9"/>
      <c r="I805" s="9"/>
      <c r="J805" s="93"/>
      <c r="K805" s="9"/>
      <c r="L805" s="9"/>
      <c r="M805" s="9"/>
      <c r="N805" s="9"/>
      <c r="O805" s="9"/>
      <c r="P805" s="9"/>
      <c r="Q805" s="93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1"/>
      <c r="AL805" s="1"/>
      <c r="AM805" s="1"/>
      <c r="AN805" s="94"/>
      <c r="AO805" s="1"/>
      <c r="AP805" s="1"/>
      <c r="AQ805" s="1"/>
      <c r="AR805" s="1"/>
      <c r="AS805" s="1"/>
      <c r="AT805" s="1"/>
      <c r="AU805" s="1"/>
    </row>
    <row r="806" ht="10.5" customHeight="1">
      <c r="A806" s="1"/>
      <c r="B806" s="2"/>
      <c r="C806" s="1"/>
      <c r="D806" s="1"/>
      <c r="E806" s="1"/>
      <c r="F806" s="9"/>
      <c r="G806" s="9"/>
      <c r="H806" s="9"/>
      <c r="I806" s="9"/>
      <c r="J806" s="93"/>
      <c r="K806" s="9"/>
      <c r="L806" s="9"/>
      <c r="M806" s="9"/>
      <c r="N806" s="9"/>
      <c r="O806" s="9"/>
      <c r="P806" s="9"/>
      <c r="Q806" s="93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1"/>
      <c r="AL806" s="1"/>
      <c r="AM806" s="1"/>
      <c r="AN806" s="94"/>
      <c r="AO806" s="1"/>
      <c r="AP806" s="1"/>
      <c r="AQ806" s="1"/>
      <c r="AR806" s="1"/>
      <c r="AS806" s="1"/>
      <c r="AT806" s="1"/>
      <c r="AU806" s="1"/>
    </row>
    <row r="807" ht="10.5" customHeight="1">
      <c r="A807" s="1"/>
      <c r="B807" s="2"/>
      <c r="C807" s="1"/>
      <c r="D807" s="1"/>
      <c r="E807" s="1"/>
      <c r="F807" s="9"/>
      <c r="G807" s="9"/>
      <c r="H807" s="9"/>
      <c r="I807" s="9"/>
      <c r="J807" s="93"/>
      <c r="K807" s="9"/>
      <c r="L807" s="9"/>
      <c r="M807" s="9"/>
      <c r="N807" s="9"/>
      <c r="O807" s="9"/>
      <c r="P807" s="9"/>
      <c r="Q807" s="93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1"/>
      <c r="AL807" s="1"/>
      <c r="AM807" s="1"/>
      <c r="AN807" s="94"/>
      <c r="AO807" s="1"/>
      <c r="AP807" s="1"/>
      <c r="AQ807" s="1"/>
      <c r="AR807" s="1"/>
      <c r="AS807" s="1"/>
      <c r="AT807" s="1"/>
      <c r="AU807" s="1"/>
    </row>
    <row r="808" ht="10.5" customHeight="1">
      <c r="A808" s="1"/>
      <c r="B808" s="2"/>
      <c r="C808" s="1"/>
      <c r="D808" s="1"/>
      <c r="E808" s="1"/>
      <c r="F808" s="9"/>
      <c r="G808" s="9"/>
      <c r="H808" s="9"/>
      <c r="I808" s="9"/>
      <c r="J808" s="93"/>
      <c r="K808" s="9"/>
      <c r="L808" s="9"/>
      <c r="M808" s="9"/>
      <c r="N808" s="9"/>
      <c r="O808" s="9"/>
      <c r="P808" s="9"/>
      <c r="Q808" s="93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1"/>
      <c r="AL808" s="1"/>
      <c r="AM808" s="1"/>
      <c r="AN808" s="94"/>
      <c r="AO808" s="1"/>
      <c r="AP808" s="1"/>
      <c r="AQ808" s="1"/>
      <c r="AR808" s="1"/>
      <c r="AS808" s="1"/>
      <c r="AT808" s="1"/>
      <c r="AU808" s="1"/>
    </row>
    <row r="809" ht="10.5" customHeight="1">
      <c r="A809" s="1"/>
      <c r="B809" s="2"/>
      <c r="C809" s="1"/>
      <c r="D809" s="1"/>
      <c r="E809" s="1"/>
      <c r="F809" s="9"/>
      <c r="G809" s="9"/>
      <c r="H809" s="9"/>
      <c r="I809" s="9"/>
      <c r="J809" s="93"/>
      <c r="K809" s="9"/>
      <c r="L809" s="9"/>
      <c r="M809" s="9"/>
      <c r="N809" s="9"/>
      <c r="O809" s="9"/>
      <c r="P809" s="9"/>
      <c r="Q809" s="93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1"/>
      <c r="AL809" s="1"/>
      <c r="AM809" s="1"/>
      <c r="AN809" s="94"/>
      <c r="AO809" s="1"/>
      <c r="AP809" s="1"/>
      <c r="AQ809" s="1"/>
      <c r="AR809" s="1"/>
      <c r="AS809" s="1"/>
      <c r="AT809" s="1"/>
      <c r="AU809" s="1"/>
    </row>
    <row r="810" ht="10.5" customHeight="1">
      <c r="A810" s="1"/>
      <c r="B810" s="2"/>
      <c r="C810" s="1"/>
      <c r="D810" s="1"/>
      <c r="E810" s="1"/>
      <c r="F810" s="9"/>
      <c r="G810" s="9"/>
      <c r="H810" s="9"/>
      <c r="I810" s="9"/>
      <c r="J810" s="93"/>
      <c r="K810" s="9"/>
      <c r="L810" s="9"/>
      <c r="M810" s="9"/>
      <c r="N810" s="9"/>
      <c r="O810" s="9"/>
      <c r="P810" s="9"/>
      <c r="Q810" s="93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1"/>
      <c r="AL810" s="1"/>
      <c r="AM810" s="1"/>
      <c r="AN810" s="94"/>
      <c r="AO810" s="1"/>
      <c r="AP810" s="1"/>
      <c r="AQ810" s="1"/>
      <c r="AR810" s="1"/>
      <c r="AS810" s="1"/>
      <c r="AT810" s="1"/>
      <c r="AU810" s="1"/>
    </row>
    <row r="811" ht="10.5" customHeight="1">
      <c r="A811" s="1"/>
      <c r="B811" s="2"/>
      <c r="C811" s="1"/>
      <c r="D811" s="1"/>
      <c r="E811" s="1"/>
      <c r="F811" s="9"/>
      <c r="G811" s="9"/>
      <c r="H811" s="9"/>
      <c r="I811" s="9"/>
      <c r="J811" s="93"/>
      <c r="K811" s="9"/>
      <c r="L811" s="9"/>
      <c r="M811" s="9"/>
      <c r="N811" s="9"/>
      <c r="O811" s="9"/>
      <c r="P811" s="9"/>
      <c r="Q811" s="93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1"/>
      <c r="AL811" s="1"/>
      <c r="AM811" s="1"/>
      <c r="AN811" s="94"/>
      <c r="AO811" s="1"/>
      <c r="AP811" s="1"/>
      <c r="AQ811" s="1"/>
      <c r="AR811" s="1"/>
      <c r="AS811" s="1"/>
      <c r="AT811" s="1"/>
      <c r="AU811" s="1"/>
    </row>
    <row r="812" ht="10.5" customHeight="1">
      <c r="A812" s="1"/>
      <c r="B812" s="2"/>
      <c r="C812" s="1"/>
      <c r="D812" s="1"/>
      <c r="E812" s="1"/>
      <c r="F812" s="9"/>
      <c r="G812" s="9"/>
      <c r="H812" s="9"/>
      <c r="I812" s="9"/>
      <c r="J812" s="93"/>
      <c r="K812" s="9"/>
      <c r="L812" s="9"/>
      <c r="M812" s="9"/>
      <c r="N812" s="9"/>
      <c r="O812" s="9"/>
      <c r="P812" s="9"/>
      <c r="Q812" s="93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1"/>
      <c r="AL812" s="1"/>
      <c r="AM812" s="1"/>
      <c r="AN812" s="94"/>
      <c r="AO812" s="1"/>
      <c r="AP812" s="1"/>
      <c r="AQ812" s="1"/>
      <c r="AR812" s="1"/>
      <c r="AS812" s="1"/>
      <c r="AT812" s="1"/>
      <c r="AU812" s="1"/>
    </row>
    <row r="813" ht="10.5" customHeight="1">
      <c r="A813" s="1"/>
      <c r="B813" s="2"/>
      <c r="C813" s="1"/>
      <c r="D813" s="1"/>
      <c r="E813" s="1"/>
      <c r="F813" s="9"/>
      <c r="G813" s="9"/>
      <c r="H813" s="9"/>
      <c r="I813" s="9"/>
      <c r="J813" s="93"/>
      <c r="K813" s="9"/>
      <c r="L813" s="9"/>
      <c r="M813" s="9"/>
      <c r="N813" s="9"/>
      <c r="O813" s="9"/>
      <c r="P813" s="9"/>
      <c r="Q813" s="93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1"/>
      <c r="AL813" s="1"/>
      <c r="AM813" s="1"/>
      <c r="AN813" s="94"/>
      <c r="AO813" s="1"/>
      <c r="AP813" s="1"/>
      <c r="AQ813" s="1"/>
      <c r="AR813" s="1"/>
      <c r="AS813" s="1"/>
      <c r="AT813" s="1"/>
      <c r="AU813" s="1"/>
    </row>
    <row r="814" ht="10.5" customHeight="1">
      <c r="A814" s="1"/>
      <c r="B814" s="2"/>
      <c r="C814" s="1"/>
      <c r="D814" s="1"/>
      <c r="E814" s="1"/>
      <c r="F814" s="9"/>
      <c r="G814" s="9"/>
      <c r="H814" s="9"/>
      <c r="I814" s="9"/>
      <c r="J814" s="93"/>
      <c r="K814" s="9"/>
      <c r="L814" s="9"/>
      <c r="M814" s="9"/>
      <c r="N814" s="9"/>
      <c r="O814" s="9"/>
      <c r="P814" s="9"/>
      <c r="Q814" s="93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1"/>
      <c r="AL814" s="1"/>
      <c r="AM814" s="1"/>
      <c r="AN814" s="94"/>
      <c r="AO814" s="1"/>
      <c r="AP814" s="1"/>
      <c r="AQ814" s="1"/>
      <c r="AR814" s="1"/>
      <c r="AS814" s="1"/>
      <c r="AT814" s="1"/>
      <c r="AU814" s="1"/>
    </row>
    <row r="815" ht="10.5" customHeight="1">
      <c r="A815" s="1"/>
      <c r="B815" s="2"/>
      <c r="C815" s="1"/>
      <c r="D815" s="1"/>
      <c r="E815" s="1"/>
      <c r="F815" s="9"/>
      <c r="G815" s="9"/>
      <c r="H815" s="9"/>
      <c r="I815" s="9"/>
      <c r="J815" s="93"/>
      <c r="K815" s="9"/>
      <c r="L815" s="9"/>
      <c r="M815" s="9"/>
      <c r="N815" s="9"/>
      <c r="O815" s="9"/>
      <c r="P815" s="9"/>
      <c r="Q815" s="93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1"/>
      <c r="AL815" s="1"/>
      <c r="AM815" s="1"/>
      <c r="AN815" s="94"/>
      <c r="AO815" s="1"/>
      <c r="AP815" s="1"/>
      <c r="AQ815" s="1"/>
      <c r="AR815" s="1"/>
      <c r="AS815" s="1"/>
      <c r="AT815" s="1"/>
      <c r="AU815" s="1"/>
    </row>
    <row r="816" ht="10.5" customHeight="1">
      <c r="A816" s="1"/>
      <c r="B816" s="2"/>
      <c r="C816" s="1"/>
      <c r="D816" s="1"/>
      <c r="E816" s="1"/>
      <c r="F816" s="9"/>
      <c r="G816" s="9"/>
      <c r="H816" s="9"/>
      <c r="I816" s="9"/>
      <c r="J816" s="93"/>
      <c r="K816" s="9"/>
      <c r="L816" s="9"/>
      <c r="M816" s="9"/>
      <c r="N816" s="9"/>
      <c r="O816" s="9"/>
      <c r="P816" s="9"/>
      <c r="Q816" s="93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1"/>
      <c r="AL816" s="1"/>
      <c r="AM816" s="1"/>
      <c r="AN816" s="94"/>
      <c r="AO816" s="1"/>
      <c r="AP816" s="1"/>
      <c r="AQ816" s="1"/>
      <c r="AR816" s="1"/>
      <c r="AS816" s="1"/>
      <c r="AT816" s="1"/>
      <c r="AU816" s="1"/>
    </row>
    <row r="817" ht="10.5" customHeight="1">
      <c r="A817" s="1"/>
      <c r="B817" s="2"/>
      <c r="C817" s="1"/>
      <c r="D817" s="1"/>
      <c r="E817" s="1"/>
      <c r="F817" s="9"/>
      <c r="G817" s="9"/>
      <c r="H817" s="9"/>
      <c r="I817" s="9"/>
      <c r="J817" s="93"/>
      <c r="K817" s="9"/>
      <c r="L817" s="9"/>
      <c r="M817" s="9"/>
      <c r="N817" s="9"/>
      <c r="O817" s="9"/>
      <c r="P817" s="9"/>
      <c r="Q817" s="93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1"/>
      <c r="AL817" s="1"/>
      <c r="AM817" s="1"/>
      <c r="AN817" s="94"/>
      <c r="AO817" s="1"/>
      <c r="AP817" s="1"/>
      <c r="AQ817" s="1"/>
      <c r="AR817" s="1"/>
      <c r="AS817" s="1"/>
      <c r="AT817" s="1"/>
      <c r="AU817" s="1"/>
    </row>
    <row r="818" ht="10.5" customHeight="1">
      <c r="A818" s="1"/>
      <c r="B818" s="2"/>
      <c r="C818" s="1"/>
      <c r="D818" s="1"/>
      <c r="E818" s="1"/>
      <c r="F818" s="9"/>
      <c r="G818" s="9"/>
      <c r="H818" s="9"/>
      <c r="I818" s="9"/>
      <c r="J818" s="93"/>
      <c r="K818" s="9"/>
      <c r="L818" s="9"/>
      <c r="M818" s="9"/>
      <c r="N818" s="9"/>
      <c r="O818" s="9"/>
      <c r="P818" s="9"/>
      <c r="Q818" s="93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1"/>
      <c r="AL818" s="1"/>
      <c r="AM818" s="1"/>
      <c r="AN818" s="94"/>
      <c r="AO818" s="1"/>
      <c r="AP818" s="1"/>
      <c r="AQ818" s="1"/>
      <c r="AR818" s="1"/>
      <c r="AS818" s="1"/>
      <c r="AT818" s="1"/>
      <c r="AU818" s="1"/>
    </row>
    <row r="819" ht="10.5" customHeight="1">
      <c r="A819" s="1"/>
      <c r="B819" s="2"/>
      <c r="C819" s="1"/>
      <c r="D819" s="1"/>
      <c r="E819" s="1"/>
      <c r="F819" s="9"/>
      <c r="G819" s="9"/>
      <c r="H819" s="9"/>
      <c r="I819" s="9"/>
      <c r="J819" s="93"/>
      <c r="K819" s="9"/>
      <c r="L819" s="9"/>
      <c r="M819" s="9"/>
      <c r="N819" s="9"/>
      <c r="O819" s="9"/>
      <c r="P819" s="9"/>
      <c r="Q819" s="93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1"/>
      <c r="AL819" s="1"/>
      <c r="AM819" s="1"/>
      <c r="AN819" s="94"/>
      <c r="AO819" s="1"/>
      <c r="AP819" s="1"/>
      <c r="AQ819" s="1"/>
      <c r="AR819" s="1"/>
      <c r="AS819" s="1"/>
      <c r="AT819" s="1"/>
      <c r="AU819" s="1"/>
    </row>
    <row r="820" ht="10.5" customHeight="1">
      <c r="A820" s="1"/>
      <c r="B820" s="2"/>
      <c r="C820" s="1"/>
      <c r="D820" s="1"/>
      <c r="E820" s="1"/>
      <c r="F820" s="9"/>
      <c r="G820" s="9"/>
      <c r="H820" s="9"/>
      <c r="I820" s="9"/>
      <c r="J820" s="93"/>
      <c r="K820" s="9"/>
      <c r="L820" s="9"/>
      <c r="M820" s="9"/>
      <c r="N820" s="9"/>
      <c r="O820" s="9"/>
      <c r="P820" s="9"/>
      <c r="Q820" s="93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1"/>
      <c r="AL820" s="1"/>
      <c r="AM820" s="1"/>
      <c r="AN820" s="94"/>
      <c r="AO820" s="1"/>
      <c r="AP820" s="1"/>
      <c r="AQ820" s="1"/>
      <c r="AR820" s="1"/>
      <c r="AS820" s="1"/>
      <c r="AT820" s="1"/>
      <c r="AU820" s="1"/>
    </row>
    <row r="821" ht="10.5" customHeight="1">
      <c r="A821" s="1"/>
      <c r="B821" s="2"/>
      <c r="C821" s="1"/>
      <c r="D821" s="1"/>
      <c r="E821" s="1"/>
      <c r="F821" s="9"/>
      <c r="G821" s="9"/>
      <c r="H821" s="9"/>
      <c r="I821" s="9"/>
      <c r="J821" s="93"/>
      <c r="K821" s="9"/>
      <c r="L821" s="9"/>
      <c r="M821" s="9"/>
      <c r="N821" s="9"/>
      <c r="O821" s="9"/>
      <c r="P821" s="9"/>
      <c r="Q821" s="93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1"/>
      <c r="AL821" s="1"/>
      <c r="AM821" s="1"/>
      <c r="AN821" s="94"/>
      <c r="AO821" s="1"/>
      <c r="AP821" s="1"/>
      <c r="AQ821" s="1"/>
      <c r="AR821" s="1"/>
      <c r="AS821" s="1"/>
      <c r="AT821" s="1"/>
      <c r="AU821" s="1"/>
    </row>
    <row r="822" ht="10.5" customHeight="1">
      <c r="A822" s="1"/>
      <c r="B822" s="2"/>
      <c r="C822" s="1"/>
      <c r="D822" s="1"/>
      <c r="E822" s="1"/>
      <c r="F822" s="9"/>
      <c r="G822" s="9"/>
      <c r="H822" s="9"/>
      <c r="I822" s="9"/>
      <c r="J822" s="93"/>
      <c r="K822" s="9"/>
      <c r="L822" s="9"/>
      <c r="M822" s="9"/>
      <c r="N822" s="9"/>
      <c r="O822" s="9"/>
      <c r="P822" s="9"/>
      <c r="Q822" s="93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1"/>
      <c r="AL822" s="1"/>
      <c r="AM822" s="1"/>
      <c r="AN822" s="94"/>
      <c r="AO822" s="1"/>
      <c r="AP822" s="1"/>
      <c r="AQ822" s="1"/>
      <c r="AR822" s="1"/>
      <c r="AS822" s="1"/>
      <c r="AT822" s="1"/>
      <c r="AU822" s="1"/>
    </row>
    <row r="823" ht="10.5" customHeight="1">
      <c r="A823" s="1"/>
      <c r="B823" s="2"/>
      <c r="C823" s="1"/>
      <c r="D823" s="1"/>
      <c r="E823" s="1"/>
      <c r="F823" s="9"/>
      <c r="G823" s="9"/>
      <c r="H823" s="9"/>
      <c r="I823" s="9"/>
      <c r="J823" s="93"/>
      <c r="K823" s="9"/>
      <c r="L823" s="9"/>
      <c r="M823" s="9"/>
      <c r="N823" s="9"/>
      <c r="O823" s="9"/>
      <c r="P823" s="9"/>
      <c r="Q823" s="93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1"/>
      <c r="AL823" s="1"/>
      <c r="AM823" s="1"/>
      <c r="AN823" s="94"/>
      <c r="AO823" s="1"/>
      <c r="AP823" s="1"/>
      <c r="AQ823" s="1"/>
      <c r="AR823" s="1"/>
      <c r="AS823" s="1"/>
      <c r="AT823" s="1"/>
      <c r="AU823" s="1"/>
    </row>
    <row r="824" ht="10.5" customHeight="1">
      <c r="A824" s="1"/>
      <c r="B824" s="2"/>
      <c r="C824" s="1"/>
      <c r="D824" s="1"/>
      <c r="E824" s="1"/>
      <c r="F824" s="9"/>
      <c r="G824" s="9"/>
      <c r="H824" s="9"/>
      <c r="I824" s="9"/>
      <c r="J824" s="93"/>
      <c r="K824" s="9"/>
      <c r="L824" s="9"/>
      <c r="M824" s="9"/>
      <c r="N824" s="9"/>
      <c r="O824" s="9"/>
      <c r="P824" s="9"/>
      <c r="Q824" s="93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1"/>
      <c r="AL824" s="1"/>
      <c r="AM824" s="1"/>
      <c r="AN824" s="94"/>
      <c r="AO824" s="1"/>
      <c r="AP824" s="1"/>
      <c r="AQ824" s="1"/>
      <c r="AR824" s="1"/>
      <c r="AS824" s="1"/>
      <c r="AT824" s="1"/>
      <c r="AU824" s="1"/>
    </row>
    <row r="825" ht="10.5" customHeight="1">
      <c r="A825" s="1"/>
      <c r="B825" s="2"/>
      <c r="C825" s="1"/>
      <c r="D825" s="1"/>
      <c r="E825" s="1"/>
      <c r="F825" s="9"/>
      <c r="G825" s="9"/>
      <c r="H825" s="9"/>
      <c r="I825" s="9"/>
      <c r="J825" s="93"/>
      <c r="K825" s="9"/>
      <c r="L825" s="9"/>
      <c r="M825" s="9"/>
      <c r="N825" s="9"/>
      <c r="O825" s="9"/>
      <c r="P825" s="9"/>
      <c r="Q825" s="93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1"/>
      <c r="AL825" s="1"/>
      <c r="AM825" s="1"/>
      <c r="AN825" s="94"/>
      <c r="AO825" s="1"/>
      <c r="AP825" s="1"/>
      <c r="AQ825" s="1"/>
      <c r="AR825" s="1"/>
      <c r="AS825" s="1"/>
      <c r="AT825" s="1"/>
      <c r="AU825" s="1"/>
    </row>
    <row r="826" ht="10.5" customHeight="1">
      <c r="A826" s="1"/>
      <c r="B826" s="2"/>
      <c r="C826" s="1"/>
      <c r="D826" s="1"/>
      <c r="E826" s="1"/>
      <c r="F826" s="9"/>
      <c r="G826" s="9"/>
      <c r="H826" s="9"/>
      <c r="I826" s="9"/>
      <c r="J826" s="93"/>
      <c r="K826" s="9"/>
      <c r="L826" s="9"/>
      <c r="M826" s="9"/>
      <c r="N826" s="9"/>
      <c r="O826" s="9"/>
      <c r="P826" s="9"/>
      <c r="Q826" s="93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1"/>
      <c r="AL826" s="1"/>
      <c r="AM826" s="1"/>
      <c r="AN826" s="94"/>
      <c r="AO826" s="1"/>
      <c r="AP826" s="1"/>
      <c r="AQ826" s="1"/>
      <c r="AR826" s="1"/>
      <c r="AS826" s="1"/>
      <c r="AT826" s="1"/>
      <c r="AU826" s="1"/>
    </row>
    <row r="827" ht="10.5" customHeight="1">
      <c r="A827" s="1"/>
      <c r="B827" s="2"/>
      <c r="C827" s="1"/>
      <c r="D827" s="1"/>
      <c r="E827" s="1"/>
      <c r="F827" s="9"/>
      <c r="G827" s="9"/>
      <c r="H827" s="9"/>
      <c r="I827" s="9"/>
      <c r="J827" s="93"/>
      <c r="K827" s="9"/>
      <c r="L827" s="9"/>
      <c r="M827" s="9"/>
      <c r="N827" s="9"/>
      <c r="O827" s="9"/>
      <c r="P827" s="9"/>
      <c r="Q827" s="93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1"/>
      <c r="AL827" s="1"/>
      <c r="AM827" s="1"/>
      <c r="AN827" s="94"/>
      <c r="AO827" s="1"/>
      <c r="AP827" s="1"/>
      <c r="AQ827" s="1"/>
      <c r="AR827" s="1"/>
      <c r="AS827" s="1"/>
      <c r="AT827" s="1"/>
      <c r="AU827" s="1"/>
    </row>
    <row r="828" ht="10.5" customHeight="1">
      <c r="A828" s="1"/>
      <c r="B828" s="2"/>
      <c r="C828" s="1"/>
      <c r="D828" s="1"/>
      <c r="E828" s="1"/>
      <c r="F828" s="9"/>
      <c r="G828" s="9"/>
      <c r="H828" s="9"/>
      <c r="I828" s="9"/>
      <c r="J828" s="93"/>
      <c r="K828" s="9"/>
      <c r="L828" s="9"/>
      <c r="M828" s="9"/>
      <c r="N828" s="9"/>
      <c r="O828" s="9"/>
      <c r="P828" s="9"/>
      <c r="Q828" s="93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1"/>
      <c r="AL828" s="1"/>
      <c r="AM828" s="1"/>
      <c r="AN828" s="94"/>
      <c r="AO828" s="1"/>
      <c r="AP828" s="1"/>
      <c r="AQ828" s="1"/>
      <c r="AR828" s="1"/>
      <c r="AS828" s="1"/>
      <c r="AT828" s="1"/>
      <c r="AU828" s="1"/>
    </row>
    <row r="829" ht="10.5" customHeight="1">
      <c r="A829" s="1"/>
      <c r="B829" s="2"/>
      <c r="C829" s="1"/>
      <c r="D829" s="1"/>
      <c r="E829" s="1"/>
      <c r="F829" s="9"/>
      <c r="G829" s="9"/>
      <c r="H829" s="9"/>
      <c r="I829" s="9"/>
      <c r="J829" s="93"/>
      <c r="K829" s="9"/>
      <c r="L829" s="9"/>
      <c r="M829" s="9"/>
      <c r="N829" s="9"/>
      <c r="O829" s="9"/>
      <c r="P829" s="9"/>
      <c r="Q829" s="93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1"/>
      <c r="AL829" s="1"/>
      <c r="AM829" s="1"/>
      <c r="AN829" s="94"/>
      <c r="AO829" s="1"/>
      <c r="AP829" s="1"/>
      <c r="AQ829" s="1"/>
      <c r="AR829" s="1"/>
      <c r="AS829" s="1"/>
      <c r="AT829" s="1"/>
      <c r="AU829" s="1"/>
    </row>
    <row r="830" ht="10.5" customHeight="1">
      <c r="A830" s="1"/>
      <c r="B830" s="2"/>
      <c r="C830" s="1"/>
      <c r="D830" s="1"/>
      <c r="E830" s="1"/>
      <c r="F830" s="9"/>
      <c r="G830" s="9"/>
      <c r="H830" s="9"/>
      <c r="I830" s="9"/>
      <c r="J830" s="93"/>
      <c r="K830" s="9"/>
      <c r="L830" s="9"/>
      <c r="M830" s="9"/>
      <c r="N830" s="9"/>
      <c r="O830" s="9"/>
      <c r="P830" s="9"/>
      <c r="Q830" s="93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1"/>
      <c r="AL830" s="1"/>
      <c r="AM830" s="1"/>
      <c r="AN830" s="94"/>
      <c r="AO830" s="1"/>
      <c r="AP830" s="1"/>
      <c r="AQ830" s="1"/>
      <c r="AR830" s="1"/>
      <c r="AS830" s="1"/>
      <c r="AT830" s="1"/>
      <c r="AU830" s="1"/>
    </row>
    <row r="831" ht="10.5" customHeight="1">
      <c r="A831" s="1"/>
      <c r="B831" s="2"/>
      <c r="C831" s="1"/>
      <c r="D831" s="1"/>
      <c r="E831" s="1"/>
      <c r="F831" s="9"/>
      <c r="G831" s="9"/>
      <c r="H831" s="9"/>
      <c r="I831" s="9"/>
      <c r="J831" s="93"/>
      <c r="K831" s="9"/>
      <c r="L831" s="9"/>
      <c r="M831" s="9"/>
      <c r="N831" s="9"/>
      <c r="O831" s="9"/>
      <c r="P831" s="9"/>
      <c r="Q831" s="93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1"/>
      <c r="AL831" s="1"/>
      <c r="AM831" s="1"/>
      <c r="AN831" s="94"/>
      <c r="AO831" s="1"/>
      <c r="AP831" s="1"/>
      <c r="AQ831" s="1"/>
      <c r="AR831" s="1"/>
      <c r="AS831" s="1"/>
      <c r="AT831" s="1"/>
      <c r="AU831" s="1"/>
    </row>
    <row r="832" ht="10.5" customHeight="1">
      <c r="A832" s="1"/>
      <c r="B832" s="2"/>
      <c r="C832" s="1"/>
      <c r="D832" s="1"/>
      <c r="E832" s="1"/>
      <c r="F832" s="9"/>
      <c r="G832" s="9"/>
      <c r="H832" s="9"/>
      <c r="I832" s="9"/>
      <c r="J832" s="93"/>
      <c r="K832" s="9"/>
      <c r="L832" s="9"/>
      <c r="M832" s="9"/>
      <c r="N832" s="9"/>
      <c r="O832" s="9"/>
      <c r="P832" s="9"/>
      <c r="Q832" s="93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1"/>
      <c r="AL832" s="1"/>
      <c r="AM832" s="1"/>
      <c r="AN832" s="94"/>
      <c r="AO832" s="1"/>
      <c r="AP832" s="1"/>
      <c r="AQ832" s="1"/>
      <c r="AR832" s="1"/>
      <c r="AS832" s="1"/>
      <c r="AT832" s="1"/>
      <c r="AU832" s="1"/>
    </row>
    <row r="833" ht="10.5" customHeight="1">
      <c r="A833" s="1"/>
      <c r="B833" s="2"/>
      <c r="C833" s="1"/>
      <c r="D833" s="1"/>
      <c r="E833" s="1"/>
      <c r="F833" s="9"/>
      <c r="G833" s="9"/>
      <c r="H833" s="9"/>
      <c r="I833" s="9"/>
      <c r="J833" s="93"/>
      <c r="K833" s="9"/>
      <c r="L833" s="9"/>
      <c r="M833" s="9"/>
      <c r="N833" s="9"/>
      <c r="O833" s="9"/>
      <c r="P833" s="9"/>
      <c r="Q833" s="93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1"/>
      <c r="AL833" s="1"/>
      <c r="AM833" s="1"/>
      <c r="AN833" s="94"/>
      <c r="AO833" s="1"/>
      <c r="AP833" s="1"/>
      <c r="AQ833" s="1"/>
      <c r="AR833" s="1"/>
      <c r="AS833" s="1"/>
      <c r="AT833" s="1"/>
      <c r="AU833" s="1"/>
    </row>
    <row r="834" ht="10.5" customHeight="1">
      <c r="A834" s="1"/>
      <c r="B834" s="2"/>
      <c r="C834" s="1"/>
      <c r="D834" s="1"/>
      <c r="E834" s="1"/>
      <c r="F834" s="9"/>
      <c r="G834" s="9"/>
      <c r="H834" s="9"/>
      <c r="I834" s="9"/>
      <c r="J834" s="93"/>
      <c r="K834" s="9"/>
      <c r="L834" s="9"/>
      <c r="M834" s="9"/>
      <c r="N834" s="9"/>
      <c r="O834" s="9"/>
      <c r="P834" s="9"/>
      <c r="Q834" s="93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1"/>
      <c r="AL834" s="1"/>
      <c r="AM834" s="1"/>
      <c r="AN834" s="94"/>
      <c r="AO834" s="1"/>
      <c r="AP834" s="1"/>
      <c r="AQ834" s="1"/>
      <c r="AR834" s="1"/>
      <c r="AS834" s="1"/>
      <c r="AT834" s="1"/>
      <c r="AU834" s="1"/>
    </row>
    <row r="835" ht="10.5" customHeight="1">
      <c r="A835" s="1"/>
      <c r="B835" s="2"/>
      <c r="C835" s="1"/>
      <c r="D835" s="1"/>
      <c r="E835" s="1"/>
      <c r="F835" s="9"/>
      <c r="G835" s="9"/>
      <c r="H835" s="9"/>
      <c r="I835" s="9"/>
      <c r="J835" s="93"/>
      <c r="K835" s="9"/>
      <c r="L835" s="9"/>
      <c r="M835" s="9"/>
      <c r="N835" s="9"/>
      <c r="O835" s="9"/>
      <c r="P835" s="9"/>
      <c r="Q835" s="93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1"/>
      <c r="AL835" s="1"/>
      <c r="AM835" s="1"/>
      <c r="AN835" s="94"/>
      <c r="AO835" s="1"/>
      <c r="AP835" s="1"/>
      <c r="AQ835" s="1"/>
      <c r="AR835" s="1"/>
      <c r="AS835" s="1"/>
      <c r="AT835" s="1"/>
      <c r="AU835" s="1"/>
    </row>
    <row r="836" ht="10.5" customHeight="1">
      <c r="A836" s="1"/>
      <c r="B836" s="2"/>
      <c r="C836" s="1"/>
      <c r="D836" s="1"/>
      <c r="E836" s="1"/>
      <c r="F836" s="9"/>
      <c r="G836" s="9"/>
      <c r="H836" s="9"/>
      <c r="I836" s="9"/>
      <c r="J836" s="93"/>
      <c r="K836" s="9"/>
      <c r="L836" s="9"/>
      <c r="M836" s="9"/>
      <c r="N836" s="9"/>
      <c r="O836" s="9"/>
      <c r="P836" s="9"/>
      <c r="Q836" s="93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1"/>
      <c r="AL836" s="1"/>
      <c r="AM836" s="1"/>
      <c r="AN836" s="94"/>
      <c r="AO836" s="1"/>
      <c r="AP836" s="1"/>
      <c r="AQ836" s="1"/>
      <c r="AR836" s="1"/>
      <c r="AS836" s="1"/>
      <c r="AT836" s="1"/>
      <c r="AU836" s="1"/>
    </row>
    <row r="837" ht="10.5" customHeight="1">
      <c r="A837" s="1"/>
      <c r="B837" s="2"/>
      <c r="C837" s="1"/>
      <c r="D837" s="1"/>
      <c r="E837" s="1"/>
      <c r="F837" s="9"/>
      <c r="G837" s="9"/>
      <c r="H837" s="9"/>
      <c r="I837" s="9"/>
      <c r="J837" s="93"/>
      <c r="K837" s="9"/>
      <c r="L837" s="9"/>
      <c r="M837" s="9"/>
      <c r="N837" s="9"/>
      <c r="O837" s="9"/>
      <c r="P837" s="9"/>
      <c r="Q837" s="93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1"/>
      <c r="AL837" s="1"/>
      <c r="AM837" s="1"/>
      <c r="AN837" s="94"/>
      <c r="AO837" s="1"/>
      <c r="AP837" s="1"/>
      <c r="AQ837" s="1"/>
      <c r="AR837" s="1"/>
      <c r="AS837" s="1"/>
      <c r="AT837" s="1"/>
      <c r="AU837" s="1"/>
    </row>
    <row r="838" ht="10.5" customHeight="1">
      <c r="A838" s="1"/>
      <c r="B838" s="2"/>
      <c r="C838" s="1"/>
      <c r="D838" s="1"/>
      <c r="E838" s="1"/>
      <c r="F838" s="9"/>
      <c r="G838" s="9"/>
      <c r="H838" s="9"/>
      <c r="I838" s="9"/>
      <c r="J838" s="93"/>
      <c r="K838" s="9"/>
      <c r="L838" s="9"/>
      <c r="M838" s="9"/>
      <c r="N838" s="9"/>
      <c r="O838" s="9"/>
      <c r="P838" s="9"/>
      <c r="Q838" s="93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1"/>
      <c r="AL838" s="1"/>
      <c r="AM838" s="1"/>
      <c r="AN838" s="94"/>
      <c r="AO838" s="1"/>
      <c r="AP838" s="1"/>
      <c r="AQ838" s="1"/>
      <c r="AR838" s="1"/>
      <c r="AS838" s="1"/>
      <c r="AT838" s="1"/>
      <c r="AU838" s="1"/>
    </row>
    <row r="839" ht="10.5" customHeight="1">
      <c r="A839" s="1"/>
      <c r="B839" s="2"/>
      <c r="C839" s="1"/>
      <c r="D839" s="1"/>
      <c r="E839" s="1"/>
      <c r="F839" s="9"/>
      <c r="G839" s="9"/>
      <c r="H839" s="9"/>
      <c r="I839" s="9"/>
      <c r="J839" s="93"/>
      <c r="K839" s="9"/>
      <c r="L839" s="9"/>
      <c r="M839" s="9"/>
      <c r="N839" s="9"/>
      <c r="O839" s="9"/>
      <c r="P839" s="9"/>
      <c r="Q839" s="93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1"/>
      <c r="AL839" s="1"/>
      <c r="AM839" s="1"/>
      <c r="AN839" s="94"/>
      <c r="AO839" s="1"/>
      <c r="AP839" s="1"/>
      <c r="AQ839" s="1"/>
      <c r="AR839" s="1"/>
      <c r="AS839" s="1"/>
      <c r="AT839" s="1"/>
      <c r="AU839" s="1"/>
    </row>
    <row r="840" ht="10.5" customHeight="1">
      <c r="A840" s="1"/>
      <c r="B840" s="2"/>
      <c r="C840" s="1"/>
      <c r="D840" s="1"/>
      <c r="E840" s="1"/>
      <c r="F840" s="9"/>
      <c r="G840" s="9"/>
      <c r="H840" s="9"/>
      <c r="I840" s="9"/>
      <c r="J840" s="93"/>
      <c r="K840" s="9"/>
      <c r="L840" s="9"/>
      <c r="M840" s="9"/>
      <c r="N840" s="9"/>
      <c r="O840" s="9"/>
      <c r="P840" s="9"/>
      <c r="Q840" s="93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1"/>
      <c r="AL840" s="1"/>
      <c r="AM840" s="1"/>
      <c r="AN840" s="94"/>
      <c r="AO840" s="1"/>
      <c r="AP840" s="1"/>
      <c r="AQ840" s="1"/>
      <c r="AR840" s="1"/>
      <c r="AS840" s="1"/>
      <c r="AT840" s="1"/>
      <c r="AU840" s="1"/>
    </row>
    <row r="841" ht="10.5" customHeight="1">
      <c r="A841" s="1"/>
      <c r="B841" s="2"/>
      <c r="C841" s="1"/>
      <c r="D841" s="1"/>
      <c r="E841" s="1"/>
      <c r="F841" s="9"/>
      <c r="G841" s="9"/>
      <c r="H841" s="9"/>
      <c r="I841" s="9"/>
      <c r="J841" s="93"/>
      <c r="K841" s="9"/>
      <c r="L841" s="9"/>
      <c r="M841" s="9"/>
      <c r="N841" s="9"/>
      <c r="O841" s="9"/>
      <c r="P841" s="9"/>
      <c r="Q841" s="93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1"/>
      <c r="AL841" s="1"/>
      <c r="AM841" s="1"/>
      <c r="AN841" s="94"/>
      <c r="AO841" s="1"/>
      <c r="AP841" s="1"/>
      <c r="AQ841" s="1"/>
      <c r="AR841" s="1"/>
      <c r="AS841" s="1"/>
      <c r="AT841" s="1"/>
      <c r="AU841" s="1"/>
    </row>
    <row r="842" ht="10.5" customHeight="1">
      <c r="A842" s="1"/>
      <c r="B842" s="2"/>
      <c r="C842" s="1"/>
      <c r="D842" s="1"/>
      <c r="E842" s="1"/>
      <c r="F842" s="9"/>
      <c r="G842" s="9"/>
      <c r="H842" s="9"/>
      <c r="I842" s="9"/>
      <c r="J842" s="93"/>
      <c r="K842" s="9"/>
      <c r="L842" s="9"/>
      <c r="M842" s="9"/>
      <c r="N842" s="9"/>
      <c r="O842" s="9"/>
      <c r="P842" s="9"/>
      <c r="Q842" s="93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1"/>
      <c r="AL842" s="1"/>
      <c r="AM842" s="1"/>
      <c r="AN842" s="94"/>
      <c r="AO842" s="1"/>
      <c r="AP842" s="1"/>
      <c r="AQ842" s="1"/>
      <c r="AR842" s="1"/>
      <c r="AS842" s="1"/>
      <c r="AT842" s="1"/>
      <c r="AU842" s="1"/>
    </row>
    <row r="843" ht="10.5" customHeight="1">
      <c r="A843" s="1"/>
      <c r="B843" s="2"/>
      <c r="C843" s="1"/>
      <c r="D843" s="1"/>
      <c r="E843" s="1"/>
      <c r="F843" s="9"/>
      <c r="G843" s="9"/>
      <c r="H843" s="9"/>
      <c r="I843" s="9"/>
      <c r="J843" s="93"/>
      <c r="K843" s="9"/>
      <c r="L843" s="9"/>
      <c r="M843" s="9"/>
      <c r="N843" s="9"/>
      <c r="O843" s="9"/>
      <c r="P843" s="9"/>
      <c r="Q843" s="93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1"/>
      <c r="AL843" s="1"/>
      <c r="AM843" s="1"/>
      <c r="AN843" s="94"/>
      <c r="AO843" s="1"/>
      <c r="AP843" s="1"/>
      <c r="AQ843" s="1"/>
      <c r="AR843" s="1"/>
      <c r="AS843" s="1"/>
      <c r="AT843" s="1"/>
      <c r="AU843" s="1"/>
    </row>
    <row r="844" ht="10.5" customHeight="1">
      <c r="A844" s="1"/>
      <c r="B844" s="2"/>
      <c r="C844" s="1"/>
      <c r="D844" s="1"/>
      <c r="E844" s="1"/>
      <c r="F844" s="9"/>
      <c r="G844" s="9"/>
      <c r="H844" s="9"/>
      <c r="I844" s="9"/>
      <c r="J844" s="93"/>
      <c r="K844" s="9"/>
      <c r="L844" s="9"/>
      <c r="M844" s="9"/>
      <c r="N844" s="9"/>
      <c r="O844" s="9"/>
      <c r="P844" s="9"/>
      <c r="Q844" s="93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1"/>
      <c r="AL844" s="1"/>
      <c r="AM844" s="1"/>
      <c r="AN844" s="94"/>
      <c r="AO844" s="1"/>
      <c r="AP844" s="1"/>
      <c r="AQ844" s="1"/>
      <c r="AR844" s="1"/>
      <c r="AS844" s="1"/>
      <c r="AT844" s="1"/>
      <c r="AU844" s="1"/>
    </row>
    <row r="845" ht="10.5" customHeight="1">
      <c r="A845" s="1"/>
      <c r="B845" s="2"/>
      <c r="C845" s="1"/>
      <c r="D845" s="1"/>
      <c r="E845" s="1"/>
      <c r="F845" s="9"/>
      <c r="G845" s="9"/>
      <c r="H845" s="9"/>
      <c r="I845" s="9"/>
      <c r="J845" s="93"/>
      <c r="K845" s="9"/>
      <c r="L845" s="9"/>
      <c r="M845" s="9"/>
      <c r="N845" s="9"/>
      <c r="O845" s="9"/>
      <c r="P845" s="9"/>
      <c r="Q845" s="93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1"/>
      <c r="AL845" s="1"/>
      <c r="AM845" s="1"/>
      <c r="AN845" s="94"/>
      <c r="AO845" s="1"/>
      <c r="AP845" s="1"/>
      <c r="AQ845" s="1"/>
      <c r="AR845" s="1"/>
      <c r="AS845" s="1"/>
      <c r="AT845" s="1"/>
      <c r="AU845" s="1"/>
    </row>
    <row r="846" ht="10.5" customHeight="1">
      <c r="A846" s="1"/>
      <c r="B846" s="2"/>
      <c r="C846" s="1"/>
      <c r="D846" s="1"/>
      <c r="E846" s="1"/>
      <c r="F846" s="9"/>
      <c r="G846" s="9"/>
      <c r="H846" s="9"/>
      <c r="I846" s="9"/>
      <c r="J846" s="93"/>
      <c r="K846" s="9"/>
      <c r="L846" s="9"/>
      <c r="M846" s="9"/>
      <c r="N846" s="9"/>
      <c r="O846" s="9"/>
      <c r="P846" s="9"/>
      <c r="Q846" s="93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1"/>
      <c r="AL846" s="1"/>
      <c r="AM846" s="1"/>
      <c r="AN846" s="94"/>
      <c r="AO846" s="1"/>
      <c r="AP846" s="1"/>
      <c r="AQ846" s="1"/>
      <c r="AR846" s="1"/>
      <c r="AS846" s="1"/>
      <c r="AT846" s="1"/>
      <c r="AU846" s="1"/>
    </row>
    <row r="847" ht="10.5" customHeight="1">
      <c r="A847" s="1"/>
      <c r="B847" s="2"/>
      <c r="C847" s="1"/>
      <c r="D847" s="1"/>
      <c r="E847" s="1"/>
      <c r="F847" s="9"/>
      <c r="G847" s="9"/>
      <c r="H847" s="9"/>
      <c r="I847" s="9"/>
      <c r="J847" s="93"/>
      <c r="K847" s="9"/>
      <c r="L847" s="9"/>
      <c r="M847" s="9"/>
      <c r="N847" s="9"/>
      <c r="O847" s="9"/>
      <c r="P847" s="9"/>
      <c r="Q847" s="93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1"/>
      <c r="AL847" s="1"/>
      <c r="AM847" s="1"/>
      <c r="AN847" s="94"/>
      <c r="AO847" s="1"/>
      <c r="AP847" s="1"/>
      <c r="AQ847" s="1"/>
      <c r="AR847" s="1"/>
      <c r="AS847" s="1"/>
      <c r="AT847" s="1"/>
      <c r="AU847" s="1"/>
    </row>
    <row r="848" ht="10.5" customHeight="1">
      <c r="A848" s="1"/>
      <c r="B848" s="2"/>
      <c r="C848" s="1"/>
      <c r="D848" s="1"/>
      <c r="E848" s="1"/>
      <c r="F848" s="9"/>
      <c r="G848" s="9"/>
      <c r="H848" s="9"/>
      <c r="I848" s="9"/>
      <c r="J848" s="93"/>
      <c r="K848" s="9"/>
      <c r="L848" s="9"/>
      <c r="M848" s="9"/>
      <c r="N848" s="9"/>
      <c r="O848" s="9"/>
      <c r="P848" s="9"/>
      <c r="Q848" s="93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1"/>
      <c r="AL848" s="1"/>
      <c r="AM848" s="1"/>
      <c r="AN848" s="94"/>
      <c r="AO848" s="1"/>
      <c r="AP848" s="1"/>
      <c r="AQ848" s="1"/>
      <c r="AR848" s="1"/>
      <c r="AS848" s="1"/>
      <c r="AT848" s="1"/>
      <c r="AU848" s="1"/>
    </row>
    <row r="849" ht="10.5" customHeight="1">
      <c r="A849" s="1"/>
      <c r="B849" s="2"/>
      <c r="C849" s="1"/>
      <c r="D849" s="1"/>
      <c r="E849" s="1"/>
      <c r="F849" s="9"/>
      <c r="G849" s="9"/>
      <c r="H849" s="9"/>
      <c r="I849" s="9"/>
      <c r="J849" s="93"/>
      <c r="K849" s="9"/>
      <c r="L849" s="9"/>
      <c r="M849" s="9"/>
      <c r="N849" s="9"/>
      <c r="O849" s="9"/>
      <c r="P849" s="9"/>
      <c r="Q849" s="93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1"/>
      <c r="AL849" s="1"/>
      <c r="AM849" s="1"/>
      <c r="AN849" s="94"/>
      <c r="AO849" s="1"/>
      <c r="AP849" s="1"/>
      <c r="AQ849" s="1"/>
      <c r="AR849" s="1"/>
      <c r="AS849" s="1"/>
      <c r="AT849" s="1"/>
      <c r="AU849" s="1"/>
    </row>
    <row r="850" ht="10.5" customHeight="1">
      <c r="A850" s="1"/>
      <c r="B850" s="2"/>
      <c r="C850" s="1"/>
      <c r="D850" s="1"/>
      <c r="E850" s="1"/>
      <c r="F850" s="9"/>
      <c r="G850" s="9"/>
      <c r="H850" s="9"/>
      <c r="I850" s="9"/>
      <c r="J850" s="93"/>
      <c r="K850" s="9"/>
      <c r="L850" s="9"/>
      <c r="M850" s="9"/>
      <c r="N850" s="9"/>
      <c r="O850" s="9"/>
      <c r="P850" s="9"/>
      <c r="Q850" s="93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1"/>
      <c r="AL850" s="1"/>
      <c r="AM850" s="1"/>
      <c r="AN850" s="94"/>
      <c r="AO850" s="1"/>
      <c r="AP850" s="1"/>
      <c r="AQ850" s="1"/>
      <c r="AR850" s="1"/>
      <c r="AS850" s="1"/>
      <c r="AT850" s="1"/>
      <c r="AU850" s="1"/>
    </row>
    <row r="851" ht="10.5" customHeight="1">
      <c r="A851" s="1"/>
      <c r="B851" s="2"/>
      <c r="C851" s="1"/>
      <c r="D851" s="1"/>
      <c r="E851" s="1"/>
      <c r="F851" s="9"/>
      <c r="G851" s="9"/>
      <c r="H851" s="9"/>
      <c r="I851" s="9"/>
      <c r="J851" s="93"/>
      <c r="K851" s="9"/>
      <c r="L851" s="9"/>
      <c r="M851" s="9"/>
      <c r="N851" s="9"/>
      <c r="O851" s="9"/>
      <c r="P851" s="9"/>
      <c r="Q851" s="93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1"/>
      <c r="AL851" s="1"/>
      <c r="AM851" s="1"/>
      <c r="AN851" s="94"/>
      <c r="AO851" s="1"/>
      <c r="AP851" s="1"/>
      <c r="AQ851" s="1"/>
      <c r="AR851" s="1"/>
      <c r="AS851" s="1"/>
      <c r="AT851" s="1"/>
      <c r="AU851" s="1"/>
    </row>
    <row r="852" ht="10.5" customHeight="1">
      <c r="A852" s="1"/>
      <c r="B852" s="2"/>
      <c r="C852" s="1"/>
      <c r="D852" s="1"/>
      <c r="E852" s="1"/>
      <c r="F852" s="9"/>
      <c r="G852" s="9"/>
      <c r="H852" s="9"/>
      <c r="I852" s="9"/>
      <c r="J852" s="93"/>
      <c r="K852" s="9"/>
      <c r="L852" s="9"/>
      <c r="M852" s="9"/>
      <c r="N852" s="9"/>
      <c r="O852" s="9"/>
      <c r="P852" s="9"/>
      <c r="Q852" s="93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1"/>
      <c r="AL852" s="1"/>
      <c r="AM852" s="1"/>
      <c r="AN852" s="94"/>
      <c r="AO852" s="1"/>
      <c r="AP852" s="1"/>
      <c r="AQ852" s="1"/>
      <c r="AR852" s="1"/>
      <c r="AS852" s="1"/>
      <c r="AT852" s="1"/>
      <c r="AU852" s="1"/>
    </row>
    <row r="853" ht="10.5" customHeight="1">
      <c r="A853" s="1"/>
      <c r="B853" s="2"/>
      <c r="C853" s="1"/>
      <c r="D853" s="1"/>
      <c r="E853" s="1"/>
      <c r="F853" s="9"/>
      <c r="G853" s="9"/>
      <c r="H853" s="9"/>
      <c r="I853" s="9"/>
      <c r="J853" s="93"/>
      <c r="K853" s="9"/>
      <c r="L853" s="9"/>
      <c r="M853" s="9"/>
      <c r="N853" s="9"/>
      <c r="O853" s="9"/>
      <c r="P853" s="9"/>
      <c r="Q853" s="93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1"/>
      <c r="AL853" s="1"/>
      <c r="AM853" s="1"/>
      <c r="AN853" s="94"/>
      <c r="AO853" s="1"/>
      <c r="AP853" s="1"/>
      <c r="AQ853" s="1"/>
      <c r="AR853" s="1"/>
      <c r="AS853" s="1"/>
      <c r="AT853" s="1"/>
      <c r="AU853" s="1"/>
    </row>
    <row r="854" ht="10.5" customHeight="1">
      <c r="A854" s="1"/>
      <c r="B854" s="2"/>
      <c r="C854" s="1"/>
      <c r="D854" s="1"/>
      <c r="E854" s="1"/>
      <c r="F854" s="9"/>
      <c r="G854" s="9"/>
      <c r="H854" s="9"/>
      <c r="I854" s="9"/>
      <c r="J854" s="93"/>
      <c r="K854" s="9"/>
      <c r="L854" s="9"/>
      <c r="M854" s="9"/>
      <c r="N854" s="9"/>
      <c r="O854" s="9"/>
      <c r="P854" s="9"/>
      <c r="Q854" s="93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1"/>
      <c r="AL854" s="1"/>
      <c r="AM854" s="1"/>
      <c r="AN854" s="94"/>
      <c r="AO854" s="1"/>
      <c r="AP854" s="1"/>
      <c r="AQ854" s="1"/>
      <c r="AR854" s="1"/>
      <c r="AS854" s="1"/>
      <c r="AT854" s="1"/>
      <c r="AU854" s="1"/>
    </row>
    <row r="855" ht="10.5" customHeight="1">
      <c r="A855" s="1"/>
      <c r="B855" s="2"/>
      <c r="C855" s="1"/>
      <c r="D855" s="1"/>
      <c r="E855" s="1"/>
      <c r="F855" s="9"/>
      <c r="G855" s="9"/>
      <c r="H855" s="9"/>
      <c r="I855" s="9"/>
      <c r="J855" s="93"/>
      <c r="K855" s="9"/>
      <c r="L855" s="9"/>
      <c r="M855" s="9"/>
      <c r="N855" s="9"/>
      <c r="O855" s="9"/>
      <c r="P855" s="9"/>
      <c r="Q855" s="93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1"/>
      <c r="AL855" s="1"/>
      <c r="AM855" s="1"/>
      <c r="AN855" s="94"/>
      <c r="AO855" s="1"/>
      <c r="AP855" s="1"/>
      <c r="AQ855" s="1"/>
      <c r="AR855" s="1"/>
      <c r="AS855" s="1"/>
      <c r="AT855" s="1"/>
      <c r="AU855" s="1"/>
    </row>
    <row r="856" ht="10.5" customHeight="1">
      <c r="A856" s="1"/>
      <c r="B856" s="2"/>
      <c r="C856" s="1"/>
      <c r="D856" s="1"/>
      <c r="E856" s="1"/>
      <c r="F856" s="9"/>
      <c r="G856" s="9"/>
      <c r="H856" s="9"/>
      <c r="I856" s="9"/>
      <c r="J856" s="93"/>
      <c r="K856" s="9"/>
      <c r="L856" s="9"/>
      <c r="M856" s="9"/>
      <c r="N856" s="9"/>
      <c r="O856" s="9"/>
      <c r="P856" s="9"/>
      <c r="Q856" s="93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1"/>
      <c r="AL856" s="1"/>
      <c r="AM856" s="1"/>
      <c r="AN856" s="94"/>
      <c r="AO856" s="1"/>
      <c r="AP856" s="1"/>
      <c r="AQ856" s="1"/>
      <c r="AR856" s="1"/>
      <c r="AS856" s="1"/>
      <c r="AT856" s="1"/>
      <c r="AU856" s="1"/>
    </row>
    <row r="857" ht="10.5" customHeight="1">
      <c r="A857" s="1"/>
      <c r="B857" s="2"/>
      <c r="C857" s="1"/>
      <c r="D857" s="1"/>
      <c r="E857" s="1"/>
      <c r="F857" s="9"/>
      <c r="G857" s="9"/>
      <c r="H857" s="9"/>
      <c r="I857" s="9"/>
      <c r="J857" s="93"/>
      <c r="K857" s="9"/>
      <c r="L857" s="9"/>
      <c r="M857" s="9"/>
      <c r="N857" s="9"/>
      <c r="O857" s="9"/>
      <c r="P857" s="9"/>
      <c r="Q857" s="93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1"/>
      <c r="AL857" s="1"/>
      <c r="AM857" s="1"/>
      <c r="AN857" s="94"/>
      <c r="AO857" s="1"/>
      <c r="AP857" s="1"/>
      <c r="AQ857" s="1"/>
      <c r="AR857" s="1"/>
      <c r="AS857" s="1"/>
      <c r="AT857" s="1"/>
      <c r="AU857" s="1"/>
    </row>
    <row r="858" ht="10.5" customHeight="1">
      <c r="A858" s="1"/>
      <c r="B858" s="2"/>
      <c r="C858" s="1"/>
      <c r="D858" s="1"/>
      <c r="E858" s="1"/>
      <c r="F858" s="9"/>
      <c r="G858" s="9"/>
      <c r="H858" s="9"/>
      <c r="I858" s="9"/>
      <c r="J858" s="93"/>
      <c r="K858" s="9"/>
      <c r="L858" s="9"/>
      <c r="M858" s="9"/>
      <c r="N858" s="9"/>
      <c r="O858" s="9"/>
      <c r="P858" s="9"/>
      <c r="Q858" s="93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1"/>
      <c r="AL858" s="1"/>
      <c r="AM858" s="1"/>
      <c r="AN858" s="94"/>
      <c r="AO858" s="1"/>
      <c r="AP858" s="1"/>
      <c r="AQ858" s="1"/>
      <c r="AR858" s="1"/>
      <c r="AS858" s="1"/>
      <c r="AT858" s="1"/>
      <c r="AU858" s="1"/>
    </row>
    <row r="859" ht="10.5" customHeight="1">
      <c r="A859" s="1"/>
      <c r="B859" s="2"/>
      <c r="C859" s="1"/>
      <c r="D859" s="1"/>
      <c r="E859" s="1"/>
      <c r="F859" s="9"/>
      <c r="G859" s="9"/>
      <c r="H859" s="9"/>
      <c r="I859" s="9"/>
      <c r="J859" s="93"/>
      <c r="K859" s="9"/>
      <c r="L859" s="9"/>
      <c r="M859" s="9"/>
      <c r="N859" s="9"/>
      <c r="O859" s="9"/>
      <c r="P859" s="9"/>
      <c r="Q859" s="93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1"/>
      <c r="AL859" s="1"/>
      <c r="AM859" s="1"/>
      <c r="AN859" s="94"/>
      <c r="AO859" s="1"/>
      <c r="AP859" s="1"/>
      <c r="AQ859" s="1"/>
      <c r="AR859" s="1"/>
      <c r="AS859" s="1"/>
      <c r="AT859" s="1"/>
      <c r="AU859" s="1"/>
    </row>
    <row r="860" ht="10.5" customHeight="1">
      <c r="A860" s="1"/>
      <c r="B860" s="2"/>
      <c r="C860" s="1"/>
      <c r="D860" s="1"/>
      <c r="E860" s="1"/>
      <c r="F860" s="9"/>
      <c r="G860" s="9"/>
      <c r="H860" s="9"/>
      <c r="I860" s="9"/>
      <c r="J860" s="93"/>
      <c r="K860" s="9"/>
      <c r="L860" s="9"/>
      <c r="M860" s="9"/>
      <c r="N860" s="9"/>
      <c r="O860" s="9"/>
      <c r="P860" s="9"/>
      <c r="Q860" s="93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1"/>
      <c r="AL860" s="1"/>
      <c r="AM860" s="1"/>
      <c r="AN860" s="94"/>
      <c r="AO860" s="1"/>
      <c r="AP860" s="1"/>
      <c r="AQ860" s="1"/>
      <c r="AR860" s="1"/>
      <c r="AS860" s="1"/>
      <c r="AT860" s="1"/>
      <c r="AU860" s="1"/>
    </row>
    <row r="861" ht="10.5" customHeight="1">
      <c r="A861" s="1"/>
      <c r="B861" s="2"/>
      <c r="C861" s="1"/>
      <c r="D861" s="1"/>
      <c r="E861" s="1"/>
      <c r="F861" s="9"/>
      <c r="G861" s="9"/>
      <c r="H861" s="9"/>
      <c r="I861" s="9"/>
      <c r="J861" s="93"/>
      <c r="K861" s="9"/>
      <c r="L861" s="9"/>
      <c r="M861" s="9"/>
      <c r="N861" s="9"/>
      <c r="O861" s="9"/>
      <c r="P861" s="9"/>
      <c r="Q861" s="93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1"/>
      <c r="AL861" s="1"/>
      <c r="AM861" s="1"/>
      <c r="AN861" s="94"/>
      <c r="AO861" s="1"/>
      <c r="AP861" s="1"/>
      <c r="AQ861" s="1"/>
      <c r="AR861" s="1"/>
      <c r="AS861" s="1"/>
      <c r="AT861" s="1"/>
      <c r="AU861" s="1"/>
    </row>
    <row r="862" ht="10.5" customHeight="1">
      <c r="A862" s="1"/>
      <c r="B862" s="2"/>
      <c r="C862" s="1"/>
      <c r="D862" s="1"/>
      <c r="E862" s="1"/>
      <c r="F862" s="9"/>
      <c r="G862" s="9"/>
      <c r="H862" s="9"/>
      <c r="I862" s="9"/>
      <c r="J862" s="93"/>
      <c r="K862" s="9"/>
      <c r="L862" s="9"/>
      <c r="M862" s="9"/>
      <c r="N862" s="9"/>
      <c r="O862" s="9"/>
      <c r="P862" s="9"/>
      <c r="Q862" s="93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1"/>
      <c r="AL862" s="1"/>
      <c r="AM862" s="1"/>
      <c r="AN862" s="94"/>
      <c r="AO862" s="1"/>
      <c r="AP862" s="1"/>
      <c r="AQ862" s="1"/>
      <c r="AR862" s="1"/>
      <c r="AS862" s="1"/>
      <c r="AT862" s="1"/>
      <c r="AU862" s="1"/>
    </row>
    <row r="863" ht="10.5" customHeight="1">
      <c r="A863" s="1"/>
      <c r="B863" s="2"/>
      <c r="C863" s="1"/>
      <c r="D863" s="1"/>
      <c r="E863" s="1"/>
      <c r="F863" s="9"/>
      <c r="G863" s="9"/>
      <c r="H863" s="9"/>
      <c r="I863" s="9"/>
      <c r="J863" s="93"/>
      <c r="K863" s="9"/>
      <c r="L863" s="9"/>
      <c r="M863" s="9"/>
      <c r="N863" s="9"/>
      <c r="O863" s="9"/>
      <c r="P863" s="9"/>
      <c r="Q863" s="93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1"/>
      <c r="AL863" s="1"/>
      <c r="AM863" s="1"/>
      <c r="AN863" s="94"/>
      <c r="AO863" s="1"/>
      <c r="AP863" s="1"/>
      <c r="AQ863" s="1"/>
      <c r="AR863" s="1"/>
      <c r="AS863" s="1"/>
      <c r="AT863" s="1"/>
      <c r="AU863" s="1"/>
    </row>
    <row r="864" ht="10.5" customHeight="1">
      <c r="A864" s="1"/>
      <c r="B864" s="2"/>
      <c r="C864" s="1"/>
      <c r="D864" s="1"/>
      <c r="E864" s="1"/>
      <c r="F864" s="9"/>
      <c r="G864" s="9"/>
      <c r="H864" s="9"/>
      <c r="I864" s="9"/>
      <c r="J864" s="93"/>
      <c r="K864" s="9"/>
      <c r="L864" s="9"/>
      <c r="M864" s="9"/>
      <c r="N864" s="9"/>
      <c r="O864" s="9"/>
      <c r="P864" s="9"/>
      <c r="Q864" s="93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1"/>
      <c r="AL864" s="1"/>
      <c r="AM864" s="1"/>
      <c r="AN864" s="94"/>
      <c r="AO864" s="1"/>
      <c r="AP864" s="1"/>
      <c r="AQ864" s="1"/>
      <c r="AR864" s="1"/>
      <c r="AS864" s="1"/>
      <c r="AT864" s="1"/>
      <c r="AU864" s="1"/>
    </row>
    <row r="865" ht="10.5" customHeight="1">
      <c r="A865" s="1"/>
      <c r="B865" s="2"/>
      <c r="C865" s="1"/>
      <c r="D865" s="1"/>
      <c r="E865" s="1"/>
      <c r="F865" s="9"/>
      <c r="G865" s="9"/>
      <c r="H865" s="9"/>
      <c r="I865" s="9"/>
      <c r="J865" s="93"/>
      <c r="K865" s="9"/>
      <c r="L865" s="9"/>
      <c r="M865" s="9"/>
      <c r="N865" s="9"/>
      <c r="O865" s="9"/>
      <c r="P865" s="9"/>
      <c r="Q865" s="93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1"/>
      <c r="AL865" s="1"/>
      <c r="AM865" s="1"/>
      <c r="AN865" s="94"/>
      <c r="AO865" s="1"/>
      <c r="AP865" s="1"/>
      <c r="AQ865" s="1"/>
      <c r="AR865" s="1"/>
      <c r="AS865" s="1"/>
      <c r="AT865" s="1"/>
      <c r="AU865" s="1"/>
    </row>
    <row r="866" ht="10.5" customHeight="1">
      <c r="A866" s="1"/>
      <c r="B866" s="2"/>
      <c r="C866" s="1"/>
      <c r="D866" s="1"/>
      <c r="E866" s="1"/>
      <c r="F866" s="9"/>
      <c r="G866" s="9"/>
      <c r="H866" s="9"/>
      <c r="I866" s="9"/>
      <c r="J866" s="93"/>
      <c r="K866" s="9"/>
      <c r="L866" s="9"/>
      <c r="M866" s="9"/>
      <c r="N866" s="9"/>
      <c r="O866" s="9"/>
      <c r="P866" s="9"/>
      <c r="Q866" s="93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1"/>
      <c r="AL866" s="1"/>
      <c r="AM866" s="1"/>
      <c r="AN866" s="94"/>
      <c r="AO866" s="1"/>
      <c r="AP866" s="1"/>
      <c r="AQ866" s="1"/>
      <c r="AR866" s="1"/>
      <c r="AS866" s="1"/>
      <c r="AT866" s="1"/>
      <c r="AU866" s="1"/>
    </row>
    <row r="867" ht="10.5" customHeight="1">
      <c r="A867" s="1"/>
      <c r="B867" s="2"/>
      <c r="C867" s="1"/>
      <c r="D867" s="1"/>
      <c r="E867" s="1"/>
      <c r="F867" s="9"/>
      <c r="G867" s="9"/>
      <c r="H867" s="9"/>
      <c r="I867" s="9"/>
      <c r="J867" s="93"/>
      <c r="K867" s="9"/>
      <c r="L867" s="9"/>
      <c r="M867" s="9"/>
      <c r="N867" s="9"/>
      <c r="O867" s="9"/>
      <c r="P867" s="9"/>
      <c r="Q867" s="93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1"/>
      <c r="AL867" s="1"/>
      <c r="AM867" s="1"/>
      <c r="AN867" s="94"/>
      <c r="AO867" s="1"/>
      <c r="AP867" s="1"/>
      <c r="AQ867" s="1"/>
      <c r="AR867" s="1"/>
      <c r="AS867" s="1"/>
      <c r="AT867" s="1"/>
      <c r="AU867" s="1"/>
    </row>
    <row r="868" ht="10.5" customHeight="1">
      <c r="A868" s="1"/>
      <c r="B868" s="2"/>
      <c r="C868" s="1"/>
      <c r="D868" s="1"/>
      <c r="E868" s="1"/>
      <c r="F868" s="9"/>
      <c r="G868" s="9"/>
      <c r="H868" s="9"/>
      <c r="I868" s="9"/>
      <c r="J868" s="93"/>
      <c r="K868" s="9"/>
      <c r="L868" s="9"/>
      <c r="M868" s="9"/>
      <c r="N868" s="9"/>
      <c r="O868" s="9"/>
      <c r="P868" s="9"/>
      <c r="Q868" s="93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1"/>
      <c r="AL868" s="1"/>
      <c r="AM868" s="1"/>
      <c r="AN868" s="94"/>
      <c r="AO868" s="1"/>
      <c r="AP868" s="1"/>
      <c r="AQ868" s="1"/>
      <c r="AR868" s="1"/>
      <c r="AS868" s="1"/>
      <c r="AT868" s="1"/>
      <c r="AU868" s="1"/>
    </row>
    <row r="869" ht="10.5" customHeight="1">
      <c r="A869" s="1"/>
      <c r="B869" s="2"/>
      <c r="C869" s="1"/>
      <c r="D869" s="1"/>
      <c r="E869" s="1"/>
      <c r="F869" s="9"/>
      <c r="G869" s="9"/>
      <c r="H869" s="9"/>
      <c r="I869" s="9"/>
      <c r="J869" s="93"/>
      <c r="K869" s="9"/>
      <c r="L869" s="9"/>
      <c r="M869" s="9"/>
      <c r="N869" s="9"/>
      <c r="O869" s="9"/>
      <c r="P869" s="9"/>
      <c r="Q869" s="93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1"/>
      <c r="AL869" s="1"/>
      <c r="AM869" s="1"/>
      <c r="AN869" s="94"/>
      <c r="AO869" s="1"/>
      <c r="AP869" s="1"/>
      <c r="AQ869" s="1"/>
      <c r="AR869" s="1"/>
      <c r="AS869" s="1"/>
      <c r="AT869" s="1"/>
      <c r="AU869" s="1"/>
    </row>
    <row r="870" ht="10.5" customHeight="1">
      <c r="A870" s="1"/>
      <c r="B870" s="2"/>
      <c r="C870" s="1"/>
      <c r="D870" s="1"/>
      <c r="E870" s="1"/>
      <c r="F870" s="9"/>
      <c r="G870" s="9"/>
      <c r="H870" s="9"/>
      <c r="I870" s="9"/>
      <c r="J870" s="93"/>
      <c r="K870" s="9"/>
      <c r="L870" s="9"/>
      <c r="M870" s="9"/>
      <c r="N870" s="9"/>
      <c r="O870" s="9"/>
      <c r="P870" s="9"/>
      <c r="Q870" s="93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1"/>
      <c r="AL870" s="1"/>
      <c r="AM870" s="1"/>
      <c r="AN870" s="94"/>
      <c r="AO870" s="1"/>
      <c r="AP870" s="1"/>
      <c r="AQ870" s="1"/>
      <c r="AR870" s="1"/>
      <c r="AS870" s="1"/>
      <c r="AT870" s="1"/>
      <c r="AU870" s="1"/>
    </row>
    <row r="871" ht="10.5" customHeight="1">
      <c r="A871" s="1"/>
      <c r="B871" s="2"/>
      <c r="C871" s="1"/>
      <c r="D871" s="1"/>
      <c r="E871" s="1"/>
      <c r="F871" s="9"/>
      <c r="G871" s="9"/>
      <c r="H871" s="9"/>
      <c r="I871" s="9"/>
      <c r="J871" s="93"/>
      <c r="K871" s="9"/>
      <c r="L871" s="9"/>
      <c r="M871" s="9"/>
      <c r="N871" s="9"/>
      <c r="O871" s="9"/>
      <c r="P871" s="9"/>
      <c r="Q871" s="93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1"/>
      <c r="AL871" s="1"/>
      <c r="AM871" s="1"/>
      <c r="AN871" s="94"/>
      <c r="AO871" s="1"/>
      <c r="AP871" s="1"/>
      <c r="AQ871" s="1"/>
      <c r="AR871" s="1"/>
      <c r="AS871" s="1"/>
      <c r="AT871" s="1"/>
      <c r="AU871" s="1"/>
    </row>
    <row r="872" ht="10.5" customHeight="1">
      <c r="A872" s="1"/>
      <c r="B872" s="2"/>
      <c r="C872" s="1"/>
      <c r="D872" s="1"/>
      <c r="E872" s="1"/>
      <c r="F872" s="9"/>
      <c r="G872" s="9"/>
      <c r="H872" s="9"/>
      <c r="I872" s="9"/>
      <c r="J872" s="93"/>
      <c r="K872" s="9"/>
      <c r="L872" s="9"/>
      <c r="M872" s="9"/>
      <c r="N872" s="9"/>
      <c r="O872" s="9"/>
      <c r="P872" s="9"/>
      <c r="Q872" s="93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1"/>
      <c r="AL872" s="1"/>
      <c r="AM872" s="1"/>
      <c r="AN872" s="94"/>
      <c r="AO872" s="1"/>
      <c r="AP872" s="1"/>
      <c r="AQ872" s="1"/>
      <c r="AR872" s="1"/>
      <c r="AS872" s="1"/>
      <c r="AT872" s="1"/>
      <c r="AU872" s="1"/>
    </row>
    <row r="873" ht="10.5" customHeight="1">
      <c r="A873" s="1"/>
      <c r="B873" s="2"/>
      <c r="C873" s="1"/>
      <c r="D873" s="1"/>
      <c r="E873" s="1"/>
      <c r="F873" s="9"/>
      <c r="G873" s="9"/>
      <c r="H873" s="9"/>
      <c r="I873" s="9"/>
      <c r="J873" s="93"/>
      <c r="K873" s="9"/>
      <c r="L873" s="9"/>
      <c r="M873" s="9"/>
      <c r="N873" s="9"/>
      <c r="O873" s="9"/>
      <c r="P873" s="9"/>
      <c r="Q873" s="93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1"/>
      <c r="AL873" s="1"/>
      <c r="AM873" s="1"/>
      <c r="AN873" s="94"/>
      <c r="AO873" s="1"/>
      <c r="AP873" s="1"/>
      <c r="AQ873" s="1"/>
      <c r="AR873" s="1"/>
      <c r="AS873" s="1"/>
      <c r="AT873" s="1"/>
      <c r="AU873" s="1"/>
    </row>
    <row r="874" ht="10.5" customHeight="1">
      <c r="A874" s="1"/>
      <c r="B874" s="2"/>
      <c r="C874" s="1"/>
      <c r="D874" s="1"/>
      <c r="E874" s="1"/>
      <c r="F874" s="9"/>
      <c r="G874" s="9"/>
      <c r="H874" s="9"/>
      <c r="I874" s="9"/>
      <c r="J874" s="93"/>
      <c r="K874" s="9"/>
      <c r="L874" s="9"/>
      <c r="M874" s="9"/>
      <c r="N874" s="9"/>
      <c r="O874" s="9"/>
      <c r="P874" s="9"/>
      <c r="Q874" s="93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1"/>
      <c r="AL874" s="1"/>
      <c r="AM874" s="1"/>
      <c r="AN874" s="94"/>
      <c r="AO874" s="1"/>
      <c r="AP874" s="1"/>
      <c r="AQ874" s="1"/>
      <c r="AR874" s="1"/>
      <c r="AS874" s="1"/>
      <c r="AT874" s="1"/>
      <c r="AU874" s="1"/>
    </row>
    <row r="875" ht="10.5" customHeight="1">
      <c r="A875" s="1"/>
      <c r="B875" s="2"/>
      <c r="C875" s="1"/>
      <c r="D875" s="1"/>
      <c r="E875" s="1"/>
      <c r="F875" s="9"/>
      <c r="G875" s="9"/>
      <c r="H875" s="9"/>
      <c r="I875" s="9"/>
      <c r="J875" s="93"/>
      <c r="K875" s="9"/>
      <c r="L875" s="9"/>
      <c r="M875" s="9"/>
      <c r="N875" s="9"/>
      <c r="O875" s="9"/>
      <c r="P875" s="9"/>
      <c r="Q875" s="93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1"/>
      <c r="AL875" s="1"/>
      <c r="AM875" s="1"/>
      <c r="AN875" s="94"/>
      <c r="AO875" s="1"/>
      <c r="AP875" s="1"/>
      <c r="AQ875" s="1"/>
      <c r="AR875" s="1"/>
      <c r="AS875" s="1"/>
      <c r="AT875" s="1"/>
      <c r="AU875" s="1"/>
    </row>
    <row r="876" ht="10.5" customHeight="1">
      <c r="A876" s="1"/>
      <c r="B876" s="2"/>
      <c r="C876" s="1"/>
      <c r="D876" s="1"/>
      <c r="E876" s="1"/>
      <c r="F876" s="9"/>
      <c r="G876" s="9"/>
      <c r="H876" s="9"/>
      <c r="I876" s="9"/>
      <c r="J876" s="93"/>
      <c r="K876" s="9"/>
      <c r="L876" s="9"/>
      <c r="M876" s="9"/>
      <c r="N876" s="9"/>
      <c r="O876" s="9"/>
      <c r="P876" s="9"/>
      <c r="Q876" s="93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1"/>
      <c r="AL876" s="1"/>
      <c r="AM876" s="1"/>
      <c r="AN876" s="94"/>
      <c r="AO876" s="1"/>
      <c r="AP876" s="1"/>
      <c r="AQ876" s="1"/>
      <c r="AR876" s="1"/>
      <c r="AS876" s="1"/>
      <c r="AT876" s="1"/>
      <c r="AU876" s="1"/>
    </row>
    <row r="877" ht="10.5" customHeight="1">
      <c r="A877" s="1"/>
      <c r="B877" s="2"/>
      <c r="C877" s="1"/>
      <c r="D877" s="1"/>
      <c r="E877" s="1"/>
      <c r="F877" s="9"/>
      <c r="G877" s="9"/>
      <c r="H877" s="9"/>
      <c r="I877" s="9"/>
      <c r="J877" s="93"/>
      <c r="K877" s="9"/>
      <c r="L877" s="9"/>
      <c r="M877" s="9"/>
      <c r="N877" s="9"/>
      <c r="O877" s="9"/>
      <c r="P877" s="9"/>
      <c r="Q877" s="93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1"/>
      <c r="AL877" s="1"/>
      <c r="AM877" s="1"/>
      <c r="AN877" s="94"/>
      <c r="AO877" s="1"/>
      <c r="AP877" s="1"/>
      <c r="AQ877" s="1"/>
      <c r="AR877" s="1"/>
      <c r="AS877" s="1"/>
      <c r="AT877" s="1"/>
      <c r="AU877" s="1"/>
    </row>
    <row r="878" ht="10.5" customHeight="1">
      <c r="A878" s="1"/>
      <c r="B878" s="2"/>
      <c r="C878" s="1"/>
      <c r="D878" s="1"/>
      <c r="E878" s="1"/>
      <c r="F878" s="9"/>
      <c r="G878" s="9"/>
      <c r="H878" s="9"/>
      <c r="I878" s="9"/>
      <c r="J878" s="93"/>
      <c r="K878" s="9"/>
      <c r="L878" s="9"/>
      <c r="M878" s="9"/>
      <c r="N878" s="9"/>
      <c r="O878" s="9"/>
      <c r="P878" s="9"/>
      <c r="Q878" s="93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1"/>
      <c r="AL878" s="1"/>
      <c r="AM878" s="1"/>
      <c r="AN878" s="94"/>
      <c r="AO878" s="1"/>
      <c r="AP878" s="1"/>
      <c r="AQ878" s="1"/>
      <c r="AR878" s="1"/>
      <c r="AS878" s="1"/>
      <c r="AT878" s="1"/>
      <c r="AU878" s="1"/>
    </row>
    <row r="879" ht="10.5" customHeight="1">
      <c r="A879" s="1"/>
      <c r="B879" s="2"/>
      <c r="C879" s="1"/>
      <c r="D879" s="1"/>
      <c r="E879" s="1"/>
      <c r="F879" s="9"/>
      <c r="G879" s="9"/>
      <c r="H879" s="9"/>
      <c r="I879" s="9"/>
      <c r="J879" s="93"/>
      <c r="K879" s="9"/>
      <c r="L879" s="9"/>
      <c r="M879" s="9"/>
      <c r="N879" s="9"/>
      <c r="O879" s="9"/>
      <c r="P879" s="9"/>
      <c r="Q879" s="93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1"/>
      <c r="AL879" s="1"/>
      <c r="AM879" s="1"/>
      <c r="AN879" s="94"/>
      <c r="AO879" s="1"/>
      <c r="AP879" s="1"/>
      <c r="AQ879" s="1"/>
      <c r="AR879" s="1"/>
      <c r="AS879" s="1"/>
      <c r="AT879" s="1"/>
      <c r="AU879" s="1"/>
    </row>
    <row r="880" ht="10.5" customHeight="1">
      <c r="A880" s="1"/>
      <c r="B880" s="2"/>
      <c r="C880" s="1"/>
      <c r="D880" s="1"/>
      <c r="E880" s="1"/>
      <c r="F880" s="9"/>
      <c r="G880" s="9"/>
      <c r="H880" s="9"/>
      <c r="I880" s="9"/>
      <c r="J880" s="93"/>
      <c r="K880" s="9"/>
      <c r="L880" s="9"/>
      <c r="M880" s="9"/>
      <c r="N880" s="9"/>
      <c r="O880" s="9"/>
      <c r="P880" s="9"/>
      <c r="Q880" s="93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1"/>
      <c r="AL880" s="1"/>
      <c r="AM880" s="1"/>
      <c r="AN880" s="94"/>
      <c r="AO880" s="1"/>
      <c r="AP880" s="1"/>
      <c r="AQ880" s="1"/>
      <c r="AR880" s="1"/>
      <c r="AS880" s="1"/>
      <c r="AT880" s="1"/>
      <c r="AU880" s="1"/>
    </row>
    <row r="881" ht="10.5" customHeight="1">
      <c r="A881" s="1"/>
      <c r="B881" s="2"/>
      <c r="C881" s="1"/>
      <c r="D881" s="1"/>
      <c r="E881" s="1"/>
      <c r="F881" s="9"/>
      <c r="G881" s="9"/>
      <c r="H881" s="9"/>
      <c r="I881" s="9"/>
      <c r="J881" s="93"/>
      <c r="K881" s="9"/>
      <c r="L881" s="9"/>
      <c r="M881" s="9"/>
      <c r="N881" s="9"/>
      <c r="O881" s="9"/>
      <c r="P881" s="9"/>
      <c r="Q881" s="93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1"/>
      <c r="AL881" s="1"/>
      <c r="AM881" s="1"/>
      <c r="AN881" s="94"/>
      <c r="AO881" s="1"/>
      <c r="AP881" s="1"/>
      <c r="AQ881" s="1"/>
      <c r="AR881" s="1"/>
      <c r="AS881" s="1"/>
      <c r="AT881" s="1"/>
      <c r="AU881" s="1"/>
    </row>
    <row r="882" ht="10.5" customHeight="1">
      <c r="A882" s="1"/>
      <c r="B882" s="2"/>
      <c r="C882" s="1"/>
      <c r="D882" s="1"/>
      <c r="E882" s="1"/>
      <c r="F882" s="9"/>
      <c r="G882" s="9"/>
      <c r="H882" s="9"/>
      <c r="I882" s="9"/>
      <c r="J882" s="93"/>
      <c r="K882" s="9"/>
      <c r="L882" s="9"/>
      <c r="M882" s="9"/>
      <c r="N882" s="9"/>
      <c r="O882" s="9"/>
      <c r="P882" s="9"/>
      <c r="Q882" s="93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1"/>
      <c r="AL882" s="1"/>
      <c r="AM882" s="1"/>
      <c r="AN882" s="94"/>
      <c r="AO882" s="1"/>
      <c r="AP882" s="1"/>
      <c r="AQ882" s="1"/>
      <c r="AR882" s="1"/>
      <c r="AS882" s="1"/>
      <c r="AT882" s="1"/>
      <c r="AU882" s="1"/>
    </row>
    <row r="883" ht="10.5" customHeight="1">
      <c r="A883" s="1"/>
      <c r="B883" s="2"/>
      <c r="C883" s="1"/>
      <c r="D883" s="1"/>
      <c r="E883" s="1"/>
      <c r="F883" s="9"/>
      <c r="G883" s="9"/>
      <c r="H883" s="9"/>
      <c r="I883" s="9"/>
      <c r="J883" s="93"/>
      <c r="K883" s="9"/>
      <c r="L883" s="9"/>
      <c r="M883" s="9"/>
      <c r="N883" s="9"/>
      <c r="O883" s="9"/>
      <c r="P883" s="9"/>
      <c r="Q883" s="93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1"/>
      <c r="AL883" s="1"/>
      <c r="AM883" s="1"/>
      <c r="AN883" s="94"/>
      <c r="AO883" s="1"/>
      <c r="AP883" s="1"/>
      <c r="AQ883" s="1"/>
      <c r="AR883" s="1"/>
      <c r="AS883" s="1"/>
      <c r="AT883" s="1"/>
      <c r="AU883" s="1"/>
    </row>
    <row r="884" ht="10.5" customHeight="1">
      <c r="A884" s="1"/>
      <c r="B884" s="2"/>
      <c r="C884" s="1"/>
      <c r="D884" s="1"/>
      <c r="E884" s="1"/>
      <c r="F884" s="9"/>
      <c r="G884" s="9"/>
      <c r="H884" s="9"/>
      <c r="I884" s="9"/>
      <c r="J884" s="93"/>
      <c r="K884" s="9"/>
      <c r="L884" s="9"/>
      <c r="M884" s="9"/>
      <c r="N884" s="9"/>
      <c r="O884" s="9"/>
      <c r="P884" s="9"/>
      <c r="Q884" s="93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1"/>
      <c r="AL884" s="1"/>
      <c r="AM884" s="1"/>
      <c r="AN884" s="94"/>
      <c r="AO884" s="1"/>
      <c r="AP884" s="1"/>
      <c r="AQ884" s="1"/>
      <c r="AR884" s="1"/>
      <c r="AS884" s="1"/>
      <c r="AT884" s="1"/>
      <c r="AU884" s="1"/>
    </row>
    <row r="885" ht="10.5" customHeight="1">
      <c r="A885" s="1"/>
      <c r="B885" s="2"/>
      <c r="C885" s="1"/>
      <c r="D885" s="1"/>
      <c r="E885" s="1"/>
      <c r="F885" s="9"/>
      <c r="G885" s="9"/>
      <c r="H885" s="9"/>
      <c r="I885" s="9"/>
      <c r="J885" s="93"/>
      <c r="K885" s="9"/>
      <c r="L885" s="9"/>
      <c r="M885" s="9"/>
      <c r="N885" s="9"/>
      <c r="O885" s="9"/>
      <c r="P885" s="9"/>
      <c r="Q885" s="93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1"/>
      <c r="AL885" s="1"/>
      <c r="AM885" s="1"/>
      <c r="AN885" s="94"/>
      <c r="AO885" s="1"/>
      <c r="AP885" s="1"/>
      <c r="AQ885" s="1"/>
      <c r="AR885" s="1"/>
      <c r="AS885" s="1"/>
      <c r="AT885" s="1"/>
      <c r="AU885" s="1"/>
    </row>
    <row r="886" ht="10.5" customHeight="1">
      <c r="A886" s="1"/>
      <c r="B886" s="2"/>
      <c r="C886" s="1"/>
      <c r="D886" s="1"/>
      <c r="E886" s="1"/>
      <c r="F886" s="9"/>
      <c r="G886" s="9"/>
      <c r="H886" s="9"/>
      <c r="I886" s="9"/>
      <c r="J886" s="93"/>
      <c r="K886" s="9"/>
      <c r="L886" s="9"/>
      <c r="M886" s="9"/>
      <c r="N886" s="9"/>
      <c r="O886" s="9"/>
      <c r="P886" s="9"/>
      <c r="Q886" s="93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1"/>
      <c r="AL886" s="1"/>
      <c r="AM886" s="1"/>
      <c r="AN886" s="94"/>
      <c r="AO886" s="1"/>
      <c r="AP886" s="1"/>
      <c r="AQ886" s="1"/>
      <c r="AR886" s="1"/>
      <c r="AS886" s="1"/>
      <c r="AT886" s="1"/>
      <c r="AU886" s="1"/>
    </row>
    <row r="887" ht="10.5" customHeight="1">
      <c r="A887" s="1"/>
      <c r="B887" s="2"/>
      <c r="C887" s="1"/>
      <c r="D887" s="1"/>
      <c r="E887" s="1"/>
      <c r="F887" s="9"/>
      <c r="G887" s="9"/>
      <c r="H887" s="9"/>
      <c r="I887" s="9"/>
      <c r="J887" s="93"/>
      <c r="K887" s="9"/>
      <c r="L887" s="9"/>
      <c r="M887" s="9"/>
      <c r="N887" s="9"/>
      <c r="O887" s="9"/>
      <c r="P887" s="9"/>
      <c r="Q887" s="93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1"/>
      <c r="AL887" s="1"/>
      <c r="AM887" s="1"/>
      <c r="AN887" s="94"/>
      <c r="AO887" s="1"/>
      <c r="AP887" s="1"/>
      <c r="AQ887" s="1"/>
      <c r="AR887" s="1"/>
      <c r="AS887" s="1"/>
      <c r="AT887" s="1"/>
      <c r="AU887" s="1"/>
    </row>
    <row r="888" ht="10.5" customHeight="1">
      <c r="A888" s="1"/>
      <c r="B888" s="2"/>
      <c r="C888" s="1"/>
      <c r="D888" s="1"/>
      <c r="E888" s="1"/>
      <c r="F888" s="9"/>
      <c r="G888" s="9"/>
      <c r="H888" s="9"/>
      <c r="I888" s="9"/>
      <c r="J888" s="93"/>
      <c r="K888" s="9"/>
      <c r="L888" s="9"/>
      <c r="M888" s="9"/>
      <c r="N888" s="9"/>
      <c r="O888" s="9"/>
      <c r="P888" s="9"/>
      <c r="Q888" s="93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1"/>
      <c r="AL888" s="1"/>
      <c r="AM888" s="1"/>
      <c r="AN888" s="94"/>
      <c r="AO888" s="1"/>
      <c r="AP888" s="1"/>
      <c r="AQ888" s="1"/>
      <c r="AR888" s="1"/>
      <c r="AS888" s="1"/>
      <c r="AT888" s="1"/>
      <c r="AU888" s="1"/>
    </row>
    <row r="889" ht="10.5" customHeight="1">
      <c r="A889" s="1"/>
      <c r="B889" s="2"/>
      <c r="C889" s="1"/>
      <c r="D889" s="1"/>
      <c r="E889" s="1"/>
      <c r="F889" s="9"/>
      <c r="G889" s="9"/>
      <c r="H889" s="9"/>
      <c r="I889" s="9"/>
      <c r="J889" s="93"/>
      <c r="K889" s="9"/>
      <c r="L889" s="9"/>
      <c r="M889" s="9"/>
      <c r="N889" s="9"/>
      <c r="O889" s="9"/>
      <c r="P889" s="9"/>
      <c r="Q889" s="93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1"/>
      <c r="AL889" s="1"/>
      <c r="AM889" s="1"/>
      <c r="AN889" s="94"/>
      <c r="AO889" s="1"/>
      <c r="AP889" s="1"/>
      <c r="AQ889" s="1"/>
      <c r="AR889" s="1"/>
      <c r="AS889" s="1"/>
      <c r="AT889" s="1"/>
      <c r="AU889" s="1"/>
    </row>
    <row r="890" ht="10.5" customHeight="1">
      <c r="A890" s="1"/>
      <c r="B890" s="2"/>
      <c r="C890" s="1"/>
      <c r="D890" s="1"/>
      <c r="E890" s="1"/>
      <c r="F890" s="9"/>
      <c r="G890" s="9"/>
      <c r="H890" s="9"/>
      <c r="I890" s="9"/>
      <c r="J890" s="93"/>
      <c r="K890" s="9"/>
      <c r="L890" s="9"/>
      <c r="M890" s="9"/>
      <c r="N890" s="9"/>
      <c r="O890" s="9"/>
      <c r="P890" s="9"/>
      <c r="Q890" s="93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1"/>
      <c r="AL890" s="1"/>
      <c r="AM890" s="1"/>
      <c r="AN890" s="94"/>
      <c r="AO890" s="1"/>
      <c r="AP890" s="1"/>
      <c r="AQ890" s="1"/>
      <c r="AR890" s="1"/>
      <c r="AS890" s="1"/>
      <c r="AT890" s="1"/>
      <c r="AU890" s="1"/>
    </row>
    <row r="891" ht="10.5" customHeight="1">
      <c r="A891" s="1"/>
      <c r="B891" s="2"/>
      <c r="C891" s="1"/>
      <c r="D891" s="1"/>
      <c r="E891" s="1"/>
      <c r="F891" s="9"/>
      <c r="G891" s="9"/>
      <c r="H891" s="9"/>
      <c r="I891" s="9"/>
      <c r="J891" s="93"/>
      <c r="K891" s="9"/>
      <c r="L891" s="9"/>
      <c r="M891" s="9"/>
      <c r="N891" s="9"/>
      <c r="O891" s="9"/>
      <c r="P891" s="9"/>
      <c r="Q891" s="93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1"/>
      <c r="AL891" s="1"/>
      <c r="AM891" s="1"/>
      <c r="AN891" s="94"/>
      <c r="AO891" s="1"/>
      <c r="AP891" s="1"/>
      <c r="AQ891" s="1"/>
      <c r="AR891" s="1"/>
      <c r="AS891" s="1"/>
      <c r="AT891" s="1"/>
      <c r="AU891" s="1"/>
    </row>
    <row r="892" ht="10.5" customHeight="1">
      <c r="A892" s="1"/>
      <c r="B892" s="2"/>
      <c r="C892" s="1"/>
      <c r="D892" s="1"/>
      <c r="E892" s="1"/>
      <c r="F892" s="9"/>
      <c r="G892" s="9"/>
      <c r="H892" s="9"/>
      <c r="I892" s="9"/>
      <c r="J892" s="93"/>
      <c r="K892" s="9"/>
      <c r="L892" s="9"/>
      <c r="M892" s="9"/>
      <c r="N892" s="9"/>
      <c r="O892" s="9"/>
      <c r="P892" s="9"/>
      <c r="Q892" s="93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1"/>
      <c r="AL892" s="1"/>
      <c r="AM892" s="1"/>
      <c r="AN892" s="94"/>
      <c r="AO892" s="1"/>
      <c r="AP892" s="1"/>
      <c r="AQ892" s="1"/>
      <c r="AR892" s="1"/>
      <c r="AS892" s="1"/>
      <c r="AT892" s="1"/>
      <c r="AU892" s="1"/>
    </row>
    <row r="893" ht="10.5" customHeight="1">
      <c r="A893" s="1"/>
      <c r="B893" s="2"/>
      <c r="C893" s="1"/>
      <c r="D893" s="1"/>
      <c r="E893" s="1"/>
      <c r="F893" s="9"/>
      <c r="G893" s="9"/>
      <c r="H893" s="9"/>
      <c r="I893" s="9"/>
      <c r="J893" s="93"/>
      <c r="K893" s="9"/>
      <c r="L893" s="9"/>
      <c r="M893" s="9"/>
      <c r="N893" s="9"/>
      <c r="O893" s="9"/>
      <c r="P893" s="9"/>
      <c r="Q893" s="93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1"/>
      <c r="AL893" s="1"/>
      <c r="AM893" s="1"/>
      <c r="AN893" s="94"/>
      <c r="AO893" s="1"/>
      <c r="AP893" s="1"/>
      <c r="AQ893" s="1"/>
      <c r="AR893" s="1"/>
      <c r="AS893" s="1"/>
      <c r="AT893" s="1"/>
      <c r="AU893" s="1"/>
    </row>
    <row r="894" ht="10.5" customHeight="1">
      <c r="A894" s="1"/>
      <c r="B894" s="2"/>
      <c r="C894" s="1"/>
      <c r="D894" s="1"/>
      <c r="E894" s="1"/>
      <c r="F894" s="9"/>
      <c r="G894" s="9"/>
      <c r="H894" s="9"/>
      <c r="I894" s="9"/>
      <c r="J894" s="93"/>
      <c r="K894" s="9"/>
      <c r="L894" s="9"/>
      <c r="M894" s="9"/>
      <c r="N894" s="9"/>
      <c r="O894" s="9"/>
      <c r="P894" s="9"/>
      <c r="Q894" s="93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1"/>
      <c r="AL894" s="1"/>
      <c r="AM894" s="1"/>
      <c r="AN894" s="94"/>
      <c r="AO894" s="1"/>
      <c r="AP894" s="1"/>
      <c r="AQ894" s="1"/>
      <c r="AR894" s="1"/>
      <c r="AS894" s="1"/>
      <c r="AT894" s="1"/>
      <c r="AU894" s="1"/>
    </row>
    <row r="895" ht="10.5" customHeight="1">
      <c r="A895" s="1"/>
      <c r="B895" s="2"/>
      <c r="C895" s="1"/>
      <c r="D895" s="1"/>
      <c r="E895" s="1"/>
      <c r="F895" s="9"/>
      <c r="G895" s="9"/>
      <c r="H895" s="9"/>
      <c r="I895" s="9"/>
      <c r="J895" s="93"/>
      <c r="K895" s="9"/>
      <c r="L895" s="9"/>
      <c r="M895" s="9"/>
      <c r="N895" s="9"/>
      <c r="O895" s="9"/>
      <c r="P895" s="9"/>
      <c r="Q895" s="93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1"/>
      <c r="AL895" s="1"/>
      <c r="AM895" s="1"/>
      <c r="AN895" s="94"/>
      <c r="AO895" s="1"/>
      <c r="AP895" s="1"/>
      <c r="AQ895" s="1"/>
      <c r="AR895" s="1"/>
      <c r="AS895" s="1"/>
      <c r="AT895" s="1"/>
      <c r="AU895" s="1"/>
    </row>
    <row r="896" ht="10.5" customHeight="1">
      <c r="A896" s="1"/>
      <c r="B896" s="2"/>
      <c r="C896" s="1"/>
      <c r="D896" s="1"/>
      <c r="E896" s="1"/>
      <c r="F896" s="9"/>
      <c r="G896" s="9"/>
      <c r="H896" s="9"/>
      <c r="I896" s="9"/>
      <c r="J896" s="93"/>
      <c r="K896" s="9"/>
      <c r="L896" s="9"/>
      <c r="M896" s="9"/>
      <c r="N896" s="9"/>
      <c r="O896" s="9"/>
      <c r="P896" s="9"/>
      <c r="Q896" s="93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1"/>
      <c r="AL896" s="1"/>
      <c r="AM896" s="1"/>
      <c r="AN896" s="94"/>
      <c r="AO896" s="1"/>
      <c r="AP896" s="1"/>
      <c r="AQ896" s="1"/>
      <c r="AR896" s="1"/>
      <c r="AS896" s="1"/>
      <c r="AT896" s="1"/>
      <c r="AU896" s="1"/>
    </row>
    <row r="897" ht="10.5" customHeight="1">
      <c r="A897" s="1"/>
      <c r="B897" s="2"/>
      <c r="C897" s="1"/>
      <c r="D897" s="1"/>
      <c r="E897" s="1"/>
      <c r="F897" s="9"/>
      <c r="G897" s="9"/>
      <c r="H897" s="9"/>
      <c r="I897" s="9"/>
      <c r="J897" s="93"/>
      <c r="K897" s="9"/>
      <c r="L897" s="9"/>
      <c r="M897" s="9"/>
      <c r="N897" s="9"/>
      <c r="O897" s="9"/>
      <c r="P897" s="9"/>
      <c r="Q897" s="93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1"/>
      <c r="AL897" s="1"/>
      <c r="AM897" s="1"/>
      <c r="AN897" s="94"/>
      <c r="AO897" s="1"/>
      <c r="AP897" s="1"/>
      <c r="AQ897" s="1"/>
      <c r="AR897" s="1"/>
      <c r="AS897" s="1"/>
      <c r="AT897" s="1"/>
      <c r="AU897" s="1"/>
    </row>
    <row r="898" ht="10.5" customHeight="1">
      <c r="A898" s="1"/>
      <c r="B898" s="2"/>
      <c r="C898" s="1"/>
      <c r="D898" s="1"/>
      <c r="E898" s="1"/>
      <c r="F898" s="9"/>
      <c r="G898" s="9"/>
      <c r="H898" s="9"/>
      <c r="I898" s="9"/>
      <c r="J898" s="93"/>
      <c r="K898" s="9"/>
      <c r="L898" s="9"/>
      <c r="M898" s="9"/>
      <c r="N898" s="9"/>
      <c r="O898" s="9"/>
      <c r="P898" s="9"/>
      <c r="Q898" s="93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1"/>
      <c r="AL898" s="1"/>
      <c r="AM898" s="1"/>
      <c r="AN898" s="94"/>
      <c r="AO898" s="1"/>
      <c r="AP898" s="1"/>
      <c r="AQ898" s="1"/>
      <c r="AR898" s="1"/>
      <c r="AS898" s="1"/>
      <c r="AT898" s="1"/>
      <c r="AU898" s="1"/>
    </row>
    <row r="899" ht="10.5" customHeight="1">
      <c r="A899" s="1"/>
      <c r="B899" s="2"/>
      <c r="C899" s="1"/>
      <c r="D899" s="1"/>
      <c r="E899" s="1"/>
      <c r="F899" s="9"/>
      <c r="G899" s="9"/>
      <c r="H899" s="9"/>
      <c r="I899" s="9"/>
      <c r="J899" s="93"/>
      <c r="K899" s="9"/>
      <c r="L899" s="9"/>
      <c r="M899" s="9"/>
      <c r="N899" s="9"/>
      <c r="O899" s="9"/>
      <c r="P899" s="9"/>
      <c r="Q899" s="93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1"/>
      <c r="AL899" s="1"/>
      <c r="AM899" s="1"/>
      <c r="AN899" s="94"/>
      <c r="AO899" s="1"/>
      <c r="AP899" s="1"/>
      <c r="AQ899" s="1"/>
      <c r="AR899" s="1"/>
      <c r="AS899" s="1"/>
      <c r="AT899" s="1"/>
      <c r="AU899" s="1"/>
    </row>
    <row r="900" ht="10.5" customHeight="1">
      <c r="A900" s="1"/>
      <c r="B900" s="2"/>
      <c r="C900" s="1"/>
      <c r="D900" s="1"/>
      <c r="E900" s="1"/>
      <c r="F900" s="9"/>
      <c r="G900" s="9"/>
      <c r="H900" s="9"/>
      <c r="I900" s="9"/>
      <c r="J900" s="93"/>
      <c r="K900" s="9"/>
      <c r="L900" s="9"/>
      <c r="M900" s="9"/>
      <c r="N900" s="9"/>
      <c r="O900" s="9"/>
      <c r="P900" s="9"/>
      <c r="Q900" s="93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1"/>
      <c r="AL900" s="1"/>
      <c r="AM900" s="1"/>
      <c r="AN900" s="94"/>
      <c r="AO900" s="1"/>
      <c r="AP900" s="1"/>
      <c r="AQ900" s="1"/>
      <c r="AR900" s="1"/>
      <c r="AS900" s="1"/>
      <c r="AT900" s="1"/>
      <c r="AU900" s="1"/>
    </row>
    <row r="901" ht="10.5" customHeight="1">
      <c r="A901" s="1"/>
      <c r="B901" s="2"/>
      <c r="C901" s="1"/>
      <c r="D901" s="1"/>
      <c r="E901" s="1"/>
      <c r="F901" s="9"/>
      <c r="G901" s="9"/>
      <c r="H901" s="9"/>
      <c r="I901" s="9"/>
      <c r="J901" s="93"/>
      <c r="K901" s="9"/>
      <c r="L901" s="9"/>
      <c r="M901" s="9"/>
      <c r="N901" s="9"/>
      <c r="O901" s="9"/>
      <c r="P901" s="9"/>
      <c r="Q901" s="93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1"/>
      <c r="AL901" s="1"/>
      <c r="AM901" s="1"/>
      <c r="AN901" s="94"/>
      <c r="AO901" s="1"/>
      <c r="AP901" s="1"/>
      <c r="AQ901" s="1"/>
      <c r="AR901" s="1"/>
      <c r="AS901" s="1"/>
      <c r="AT901" s="1"/>
      <c r="AU901" s="1"/>
    </row>
    <row r="902" ht="10.5" customHeight="1">
      <c r="A902" s="1"/>
      <c r="B902" s="2"/>
      <c r="C902" s="1"/>
      <c r="D902" s="1"/>
      <c r="E902" s="1"/>
      <c r="F902" s="9"/>
      <c r="G902" s="9"/>
      <c r="H902" s="9"/>
      <c r="I902" s="9"/>
      <c r="J902" s="93"/>
      <c r="K902" s="9"/>
      <c r="L902" s="9"/>
      <c r="M902" s="9"/>
      <c r="N902" s="9"/>
      <c r="O902" s="9"/>
      <c r="P902" s="9"/>
      <c r="Q902" s="93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1"/>
      <c r="AL902" s="1"/>
      <c r="AM902" s="1"/>
      <c r="AN902" s="94"/>
      <c r="AO902" s="1"/>
      <c r="AP902" s="1"/>
      <c r="AQ902" s="1"/>
      <c r="AR902" s="1"/>
      <c r="AS902" s="1"/>
      <c r="AT902" s="1"/>
      <c r="AU902" s="1"/>
    </row>
    <row r="903" ht="10.5" customHeight="1">
      <c r="A903" s="1"/>
      <c r="B903" s="2"/>
      <c r="C903" s="1"/>
      <c r="D903" s="1"/>
      <c r="E903" s="1"/>
      <c r="F903" s="9"/>
      <c r="G903" s="9"/>
      <c r="H903" s="9"/>
      <c r="I903" s="9"/>
      <c r="J903" s="93"/>
      <c r="K903" s="9"/>
      <c r="L903" s="9"/>
      <c r="M903" s="9"/>
      <c r="N903" s="9"/>
      <c r="O903" s="9"/>
      <c r="P903" s="9"/>
      <c r="Q903" s="93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1"/>
      <c r="AL903" s="1"/>
      <c r="AM903" s="1"/>
      <c r="AN903" s="94"/>
      <c r="AO903" s="1"/>
      <c r="AP903" s="1"/>
      <c r="AQ903" s="1"/>
      <c r="AR903" s="1"/>
      <c r="AS903" s="1"/>
      <c r="AT903" s="1"/>
      <c r="AU903" s="1"/>
    </row>
    <row r="904" ht="10.5" customHeight="1">
      <c r="A904" s="1"/>
      <c r="B904" s="2"/>
      <c r="C904" s="1"/>
      <c r="D904" s="1"/>
      <c r="E904" s="1"/>
      <c r="F904" s="9"/>
      <c r="G904" s="9"/>
      <c r="H904" s="9"/>
      <c r="I904" s="9"/>
      <c r="J904" s="93"/>
      <c r="K904" s="9"/>
      <c r="L904" s="9"/>
      <c r="M904" s="9"/>
      <c r="N904" s="9"/>
      <c r="O904" s="9"/>
      <c r="P904" s="9"/>
      <c r="Q904" s="93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1"/>
      <c r="AL904" s="1"/>
      <c r="AM904" s="1"/>
      <c r="AN904" s="94"/>
      <c r="AO904" s="1"/>
      <c r="AP904" s="1"/>
      <c r="AQ904" s="1"/>
      <c r="AR904" s="1"/>
      <c r="AS904" s="1"/>
      <c r="AT904" s="1"/>
      <c r="AU904" s="1"/>
    </row>
    <row r="905" ht="10.5" customHeight="1">
      <c r="A905" s="1"/>
      <c r="B905" s="2"/>
      <c r="C905" s="1"/>
      <c r="D905" s="1"/>
      <c r="E905" s="1"/>
      <c r="F905" s="9"/>
      <c r="G905" s="9"/>
      <c r="H905" s="9"/>
      <c r="I905" s="9"/>
      <c r="J905" s="93"/>
      <c r="K905" s="9"/>
      <c r="L905" s="9"/>
      <c r="M905" s="9"/>
      <c r="N905" s="9"/>
      <c r="O905" s="9"/>
      <c r="P905" s="9"/>
      <c r="Q905" s="93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1"/>
      <c r="AL905" s="1"/>
      <c r="AM905" s="1"/>
      <c r="AN905" s="94"/>
      <c r="AO905" s="1"/>
      <c r="AP905" s="1"/>
      <c r="AQ905" s="1"/>
      <c r="AR905" s="1"/>
      <c r="AS905" s="1"/>
      <c r="AT905" s="1"/>
      <c r="AU905" s="1"/>
    </row>
    <row r="906" ht="10.5" customHeight="1">
      <c r="A906" s="1"/>
      <c r="B906" s="2"/>
      <c r="C906" s="1"/>
      <c r="D906" s="1"/>
      <c r="E906" s="1"/>
      <c r="F906" s="9"/>
      <c r="G906" s="9"/>
      <c r="H906" s="9"/>
      <c r="I906" s="9"/>
      <c r="J906" s="93"/>
      <c r="K906" s="9"/>
      <c r="L906" s="9"/>
      <c r="M906" s="9"/>
      <c r="N906" s="9"/>
      <c r="O906" s="9"/>
      <c r="P906" s="9"/>
      <c r="Q906" s="93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1"/>
      <c r="AL906" s="1"/>
      <c r="AM906" s="1"/>
      <c r="AN906" s="94"/>
      <c r="AO906" s="1"/>
      <c r="AP906" s="1"/>
      <c r="AQ906" s="1"/>
      <c r="AR906" s="1"/>
      <c r="AS906" s="1"/>
      <c r="AT906" s="1"/>
      <c r="AU906" s="1"/>
    </row>
    <row r="907" ht="10.5" customHeight="1">
      <c r="A907" s="1"/>
      <c r="B907" s="2"/>
      <c r="C907" s="1"/>
      <c r="D907" s="1"/>
      <c r="E907" s="1"/>
      <c r="F907" s="9"/>
      <c r="G907" s="9"/>
      <c r="H907" s="9"/>
      <c r="I907" s="9"/>
      <c r="J907" s="93"/>
      <c r="K907" s="9"/>
      <c r="L907" s="9"/>
      <c r="M907" s="9"/>
      <c r="N907" s="9"/>
      <c r="O907" s="9"/>
      <c r="P907" s="9"/>
      <c r="Q907" s="93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1"/>
      <c r="AL907" s="1"/>
      <c r="AM907" s="1"/>
      <c r="AN907" s="94"/>
      <c r="AO907" s="1"/>
      <c r="AP907" s="1"/>
      <c r="AQ907" s="1"/>
      <c r="AR907" s="1"/>
      <c r="AS907" s="1"/>
      <c r="AT907" s="1"/>
      <c r="AU907" s="1"/>
    </row>
    <row r="908" ht="10.5" customHeight="1">
      <c r="A908" s="1"/>
      <c r="B908" s="2"/>
      <c r="C908" s="1"/>
      <c r="D908" s="1"/>
      <c r="E908" s="1"/>
      <c r="F908" s="9"/>
      <c r="G908" s="9"/>
      <c r="H908" s="9"/>
      <c r="I908" s="9"/>
      <c r="J908" s="93"/>
      <c r="K908" s="9"/>
      <c r="L908" s="9"/>
      <c r="M908" s="9"/>
      <c r="N908" s="9"/>
      <c r="O908" s="9"/>
      <c r="P908" s="9"/>
      <c r="Q908" s="93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1"/>
      <c r="AL908" s="1"/>
      <c r="AM908" s="1"/>
      <c r="AN908" s="94"/>
      <c r="AO908" s="1"/>
      <c r="AP908" s="1"/>
      <c r="AQ908" s="1"/>
      <c r="AR908" s="1"/>
      <c r="AS908" s="1"/>
      <c r="AT908" s="1"/>
      <c r="AU908" s="1"/>
    </row>
    <row r="909" ht="10.5" customHeight="1">
      <c r="A909" s="1"/>
      <c r="B909" s="2"/>
      <c r="C909" s="1"/>
      <c r="D909" s="1"/>
      <c r="E909" s="1"/>
      <c r="F909" s="9"/>
      <c r="G909" s="9"/>
      <c r="H909" s="9"/>
      <c r="I909" s="9"/>
      <c r="J909" s="93"/>
      <c r="K909" s="9"/>
      <c r="L909" s="9"/>
      <c r="M909" s="9"/>
      <c r="N909" s="9"/>
      <c r="O909" s="9"/>
      <c r="P909" s="9"/>
      <c r="Q909" s="93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1"/>
      <c r="AL909" s="1"/>
      <c r="AM909" s="1"/>
      <c r="AN909" s="94"/>
      <c r="AO909" s="1"/>
      <c r="AP909" s="1"/>
      <c r="AQ909" s="1"/>
      <c r="AR909" s="1"/>
      <c r="AS909" s="1"/>
      <c r="AT909" s="1"/>
      <c r="AU909" s="1"/>
    </row>
    <row r="910" ht="10.5" customHeight="1">
      <c r="A910" s="1"/>
      <c r="B910" s="2"/>
      <c r="C910" s="1"/>
      <c r="D910" s="1"/>
      <c r="E910" s="1"/>
      <c r="F910" s="9"/>
      <c r="G910" s="9"/>
      <c r="H910" s="9"/>
      <c r="I910" s="9"/>
      <c r="J910" s="93"/>
      <c r="K910" s="9"/>
      <c r="L910" s="9"/>
      <c r="M910" s="9"/>
      <c r="N910" s="9"/>
      <c r="O910" s="9"/>
      <c r="P910" s="9"/>
      <c r="Q910" s="93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1"/>
      <c r="AL910" s="1"/>
      <c r="AM910" s="1"/>
      <c r="AN910" s="94"/>
      <c r="AO910" s="1"/>
      <c r="AP910" s="1"/>
      <c r="AQ910" s="1"/>
      <c r="AR910" s="1"/>
      <c r="AS910" s="1"/>
      <c r="AT910" s="1"/>
      <c r="AU910" s="1"/>
    </row>
    <row r="911" ht="10.5" customHeight="1">
      <c r="A911" s="1"/>
      <c r="B911" s="2"/>
      <c r="C911" s="1"/>
      <c r="D911" s="1"/>
      <c r="E911" s="1"/>
      <c r="F911" s="9"/>
      <c r="G911" s="9"/>
      <c r="H911" s="9"/>
      <c r="I911" s="9"/>
      <c r="J911" s="93"/>
      <c r="K911" s="9"/>
      <c r="L911" s="9"/>
      <c r="M911" s="9"/>
      <c r="N911" s="9"/>
      <c r="O911" s="9"/>
      <c r="P911" s="9"/>
      <c r="Q911" s="93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1"/>
      <c r="AL911" s="1"/>
      <c r="AM911" s="1"/>
      <c r="AN911" s="94"/>
      <c r="AO911" s="1"/>
      <c r="AP911" s="1"/>
      <c r="AQ911" s="1"/>
      <c r="AR911" s="1"/>
      <c r="AS911" s="1"/>
      <c r="AT911" s="1"/>
      <c r="AU911" s="1"/>
    </row>
    <row r="912" ht="10.5" customHeight="1">
      <c r="A912" s="1"/>
      <c r="B912" s="2"/>
      <c r="C912" s="1"/>
      <c r="D912" s="1"/>
      <c r="E912" s="1"/>
      <c r="F912" s="9"/>
      <c r="G912" s="9"/>
      <c r="H912" s="9"/>
      <c r="I912" s="9"/>
      <c r="J912" s="93"/>
      <c r="K912" s="9"/>
      <c r="L912" s="9"/>
      <c r="M912" s="9"/>
      <c r="N912" s="9"/>
      <c r="O912" s="9"/>
      <c r="P912" s="9"/>
      <c r="Q912" s="93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1"/>
      <c r="AL912" s="1"/>
      <c r="AM912" s="1"/>
      <c r="AN912" s="94"/>
      <c r="AO912" s="1"/>
      <c r="AP912" s="1"/>
      <c r="AQ912" s="1"/>
      <c r="AR912" s="1"/>
      <c r="AS912" s="1"/>
      <c r="AT912" s="1"/>
      <c r="AU912" s="1"/>
    </row>
    <row r="913" ht="10.5" customHeight="1">
      <c r="A913" s="1"/>
      <c r="B913" s="2"/>
      <c r="C913" s="1"/>
      <c r="D913" s="1"/>
      <c r="E913" s="1"/>
      <c r="F913" s="9"/>
      <c r="G913" s="9"/>
      <c r="H913" s="9"/>
      <c r="I913" s="9"/>
      <c r="J913" s="93"/>
      <c r="K913" s="9"/>
      <c r="L913" s="9"/>
      <c r="M913" s="9"/>
      <c r="N913" s="9"/>
      <c r="O913" s="9"/>
      <c r="P913" s="9"/>
      <c r="Q913" s="93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1"/>
      <c r="AL913" s="1"/>
      <c r="AM913" s="1"/>
      <c r="AN913" s="94"/>
      <c r="AO913" s="1"/>
      <c r="AP913" s="1"/>
      <c r="AQ913" s="1"/>
      <c r="AR913" s="1"/>
      <c r="AS913" s="1"/>
      <c r="AT913" s="1"/>
      <c r="AU913" s="1"/>
    </row>
    <row r="914" ht="10.5" customHeight="1">
      <c r="A914" s="1"/>
      <c r="B914" s="2"/>
      <c r="C914" s="1"/>
      <c r="D914" s="1"/>
      <c r="E914" s="1"/>
      <c r="F914" s="9"/>
      <c r="G914" s="9"/>
      <c r="H914" s="9"/>
      <c r="I914" s="9"/>
      <c r="J914" s="93"/>
      <c r="K914" s="9"/>
      <c r="L914" s="9"/>
      <c r="M914" s="9"/>
      <c r="N914" s="9"/>
      <c r="O914" s="9"/>
      <c r="P914" s="9"/>
      <c r="Q914" s="93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1"/>
      <c r="AL914" s="1"/>
      <c r="AM914" s="1"/>
      <c r="AN914" s="94"/>
      <c r="AO914" s="1"/>
      <c r="AP914" s="1"/>
      <c r="AQ914" s="1"/>
      <c r="AR914" s="1"/>
      <c r="AS914" s="1"/>
      <c r="AT914" s="1"/>
      <c r="AU914" s="1"/>
    </row>
    <row r="915" ht="10.5" customHeight="1">
      <c r="A915" s="1"/>
      <c r="B915" s="2"/>
      <c r="C915" s="1"/>
      <c r="D915" s="1"/>
      <c r="E915" s="1"/>
      <c r="F915" s="9"/>
      <c r="G915" s="9"/>
      <c r="H915" s="9"/>
      <c r="I915" s="9"/>
      <c r="J915" s="93"/>
      <c r="K915" s="9"/>
      <c r="L915" s="9"/>
      <c r="M915" s="9"/>
      <c r="N915" s="9"/>
      <c r="O915" s="9"/>
      <c r="P915" s="9"/>
      <c r="Q915" s="93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1"/>
      <c r="AL915" s="1"/>
      <c r="AM915" s="1"/>
      <c r="AN915" s="94"/>
      <c r="AO915" s="1"/>
      <c r="AP915" s="1"/>
      <c r="AQ915" s="1"/>
      <c r="AR915" s="1"/>
      <c r="AS915" s="1"/>
      <c r="AT915" s="1"/>
      <c r="AU915" s="1"/>
    </row>
    <row r="916" ht="10.5" customHeight="1">
      <c r="A916" s="1"/>
      <c r="B916" s="2"/>
      <c r="C916" s="1"/>
      <c r="D916" s="1"/>
      <c r="E916" s="1"/>
      <c r="F916" s="9"/>
      <c r="G916" s="9"/>
      <c r="H916" s="9"/>
      <c r="I916" s="9"/>
      <c r="J916" s="93"/>
      <c r="K916" s="9"/>
      <c r="L916" s="9"/>
      <c r="M916" s="9"/>
      <c r="N916" s="9"/>
      <c r="O916" s="9"/>
      <c r="P916" s="9"/>
      <c r="Q916" s="93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1"/>
      <c r="AL916" s="1"/>
      <c r="AM916" s="1"/>
      <c r="AN916" s="94"/>
      <c r="AO916" s="1"/>
      <c r="AP916" s="1"/>
      <c r="AQ916" s="1"/>
      <c r="AR916" s="1"/>
      <c r="AS916" s="1"/>
      <c r="AT916" s="1"/>
      <c r="AU916" s="1"/>
    </row>
    <row r="917" ht="10.5" customHeight="1">
      <c r="A917" s="1"/>
      <c r="B917" s="2"/>
      <c r="C917" s="1"/>
      <c r="D917" s="1"/>
      <c r="E917" s="1"/>
      <c r="F917" s="9"/>
      <c r="G917" s="9"/>
      <c r="H917" s="9"/>
      <c r="I917" s="9"/>
      <c r="J917" s="93"/>
      <c r="K917" s="9"/>
      <c r="L917" s="9"/>
      <c r="M917" s="9"/>
      <c r="N917" s="9"/>
      <c r="O917" s="9"/>
      <c r="P917" s="9"/>
      <c r="Q917" s="93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1"/>
      <c r="AL917" s="1"/>
      <c r="AM917" s="1"/>
      <c r="AN917" s="94"/>
      <c r="AO917" s="1"/>
      <c r="AP917" s="1"/>
      <c r="AQ917" s="1"/>
      <c r="AR917" s="1"/>
      <c r="AS917" s="1"/>
      <c r="AT917" s="1"/>
      <c r="AU917" s="1"/>
    </row>
    <row r="918" ht="10.5" customHeight="1">
      <c r="A918" s="1"/>
      <c r="B918" s="2"/>
      <c r="C918" s="1"/>
      <c r="D918" s="1"/>
      <c r="E918" s="1"/>
      <c r="F918" s="9"/>
      <c r="G918" s="9"/>
      <c r="H918" s="9"/>
      <c r="I918" s="9"/>
      <c r="J918" s="93"/>
      <c r="K918" s="9"/>
      <c r="L918" s="9"/>
      <c r="M918" s="9"/>
      <c r="N918" s="9"/>
      <c r="O918" s="9"/>
      <c r="P918" s="9"/>
      <c r="Q918" s="93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1"/>
      <c r="AL918" s="1"/>
      <c r="AM918" s="1"/>
      <c r="AN918" s="94"/>
      <c r="AO918" s="1"/>
      <c r="AP918" s="1"/>
      <c r="AQ918" s="1"/>
      <c r="AR918" s="1"/>
      <c r="AS918" s="1"/>
      <c r="AT918" s="1"/>
      <c r="AU918" s="1"/>
    </row>
    <row r="919" ht="10.5" customHeight="1">
      <c r="A919" s="1"/>
      <c r="B919" s="2"/>
      <c r="C919" s="1"/>
      <c r="D919" s="1"/>
      <c r="E919" s="1"/>
      <c r="F919" s="9"/>
      <c r="G919" s="9"/>
      <c r="H919" s="9"/>
      <c r="I919" s="9"/>
      <c r="J919" s="93"/>
      <c r="K919" s="9"/>
      <c r="L919" s="9"/>
      <c r="M919" s="9"/>
      <c r="N919" s="9"/>
      <c r="O919" s="9"/>
      <c r="P919" s="9"/>
      <c r="Q919" s="93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1"/>
      <c r="AL919" s="1"/>
      <c r="AM919" s="1"/>
      <c r="AN919" s="94"/>
      <c r="AO919" s="1"/>
      <c r="AP919" s="1"/>
      <c r="AQ919" s="1"/>
      <c r="AR919" s="1"/>
      <c r="AS919" s="1"/>
      <c r="AT919" s="1"/>
      <c r="AU919" s="1"/>
    </row>
    <row r="920" ht="10.5" customHeight="1">
      <c r="A920" s="1"/>
      <c r="B920" s="2"/>
      <c r="C920" s="1"/>
      <c r="D920" s="1"/>
      <c r="E920" s="1"/>
      <c r="F920" s="9"/>
      <c r="G920" s="9"/>
      <c r="H920" s="9"/>
      <c r="I920" s="9"/>
      <c r="J920" s="93"/>
      <c r="K920" s="9"/>
      <c r="L920" s="9"/>
      <c r="M920" s="9"/>
      <c r="N920" s="9"/>
      <c r="O920" s="9"/>
      <c r="P920" s="9"/>
      <c r="Q920" s="93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1"/>
      <c r="AL920" s="1"/>
      <c r="AM920" s="1"/>
      <c r="AN920" s="94"/>
      <c r="AO920" s="1"/>
      <c r="AP920" s="1"/>
      <c r="AQ920" s="1"/>
      <c r="AR920" s="1"/>
      <c r="AS920" s="1"/>
      <c r="AT920" s="1"/>
      <c r="AU920" s="1"/>
    </row>
    <row r="921" ht="10.5" customHeight="1">
      <c r="A921" s="1"/>
      <c r="B921" s="2"/>
      <c r="C921" s="1"/>
      <c r="D921" s="1"/>
      <c r="E921" s="1"/>
      <c r="F921" s="9"/>
      <c r="G921" s="9"/>
      <c r="H921" s="9"/>
      <c r="I921" s="9"/>
      <c r="J921" s="93"/>
      <c r="K921" s="9"/>
      <c r="L921" s="9"/>
      <c r="M921" s="9"/>
      <c r="N921" s="9"/>
      <c r="O921" s="9"/>
      <c r="P921" s="9"/>
      <c r="Q921" s="93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1"/>
      <c r="AL921" s="1"/>
      <c r="AM921" s="1"/>
      <c r="AN921" s="94"/>
      <c r="AO921" s="1"/>
      <c r="AP921" s="1"/>
      <c r="AQ921" s="1"/>
      <c r="AR921" s="1"/>
      <c r="AS921" s="1"/>
      <c r="AT921" s="1"/>
      <c r="AU921" s="1"/>
    </row>
    <row r="922" ht="10.5" customHeight="1">
      <c r="A922" s="1"/>
      <c r="B922" s="2"/>
      <c r="C922" s="1"/>
      <c r="D922" s="1"/>
      <c r="E922" s="1"/>
      <c r="F922" s="9"/>
      <c r="G922" s="9"/>
      <c r="H922" s="9"/>
      <c r="I922" s="9"/>
      <c r="J922" s="93"/>
      <c r="K922" s="9"/>
      <c r="L922" s="9"/>
      <c r="M922" s="9"/>
      <c r="N922" s="9"/>
      <c r="O922" s="9"/>
      <c r="P922" s="9"/>
      <c r="Q922" s="93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1"/>
      <c r="AL922" s="1"/>
      <c r="AM922" s="1"/>
      <c r="AN922" s="94"/>
      <c r="AO922" s="1"/>
      <c r="AP922" s="1"/>
      <c r="AQ922" s="1"/>
      <c r="AR922" s="1"/>
      <c r="AS922" s="1"/>
      <c r="AT922" s="1"/>
      <c r="AU922" s="1"/>
    </row>
    <row r="923" ht="10.5" customHeight="1">
      <c r="A923" s="1"/>
      <c r="B923" s="2"/>
      <c r="C923" s="1"/>
      <c r="D923" s="1"/>
      <c r="E923" s="1"/>
      <c r="F923" s="9"/>
      <c r="G923" s="9"/>
      <c r="H923" s="9"/>
      <c r="I923" s="9"/>
      <c r="J923" s="93"/>
      <c r="K923" s="9"/>
      <c r="L923" s="9"/>
      <c r="M923" s="9"/>
      <c r="N923" s="9"/>
      <c r="O923" s="9"/>
      <c r="P923" s="9"/>
      <c r="Q923" s="93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1"/>
      <c r="AL923" s="1"/>
      <c r="AM923" s="1"/>
      <c r="AN923" s="94"/>
      <c r="AO923" s="1"/>
      <c r="AP923" s="1"/>
      <c r="AQ923" s="1"/>
      <c r="AR923" s="1"/>
      <c r="AS923" s="1"/>
      <c r="AT923" s="1"/>
      <c r="AU923" s="1"/>
    </row>
    <row r="924" ht="10.5" customHeight="1">
      <c r="A924" s="1"/>
      <c r="B924" s="2"/>
      <c r="C924" s="1"/>
      <c r="D924" s="1"/>
      <c r="E924" s="1"/>
      <c r="F924" s="9"/>
      <c r="G924" s="9"/>
      <c r="H924" s="9"/>
      <c r="I924" s="9"/>
      <c r="J924" s="93"/>
      <c r="K924" s="9"/>
      <c r="L924" s="9"/>
      <c r="M924" s="9"/>
      <c r="N924" s="9"/>
      <c r="O924" s="9"/>
      <c r="P924" s="9"/>
      <c r="Q924" s="93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1"/>
      <c r="AL924" s="1"/>
      <c r="AM924" s="1"/>
      <c r="AN924" s="94"/>
      <c r="AO924" s="1"/>
      <c r="AP924" s="1"/>
      <c r="AQ924" s="1"/>
      <c r="AR924" s="1"/>
      <c r="AS924" s="1"/>
      <c r="AT924" s="1"/>
      <c r="AU924" s="1"/>
    </row>
    <row r="925" ht="10.5" customHeight="1">
      <c r="A925" s="1"/>
      <c r="B925" s="2"/>
      <c r="C925" s="1"/>
      <c r="D925" s="1"/>
      <c r="E925" s="1"/>
      <c r="F925" s="9"/>
      <c r="G925" s="9"/>
      <c r="H925" s="9"/>
      <c r="I925" s="9"/>
      <c r="J925" s="93"/>
      <c r="K925" s="9"/>
      <c r="L925" s="9"/>
      <c r="M925" s="9"/>
      <c r="N925" s="9"/>
      <c r="O925" s="9"/>
      <c r="P925" s="9"/>
      <c r="Q925" s="93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1"/>
      <c r="AL925" s="1"/>
      <c r="AM925" s="1"/>
      <c r="AN925" s="94"/>
      <c r="AO925" s="1"/>
      <c r="AP925" s="1"/>
      <c r="AQ925" s="1"/>
      <c r="AR925" s="1"/>
      <c r="AS925" s="1"/>
      <c r="AT925" s="1"/>
      <c r="AU925" s="1"/>
    </row>
    <row r="926" ht="10.5" customHeight="1">
      <c r="A926" s="1"/>
      <c r="B926" s="2"/>
      <c r="C926" s="1"/>
      <c r="D926" s="1"/>
      <c r="E926" s="1"/>
      <c r="F926" s="9"/>
      <c r="G926" s="9"/>
      <c r="H926" s="9"/>
      <c r="I926" s="9"/>
      <c r="J926" s="93"/>
      <c r="K926" s="9"/>
      <c r="L926" s="9"/>
      <c r="M926" s="9"/>
      <c r="N926" s="9"/>
      <c r="O926" s="9"/>
      <c r="P926" s="9"/>
      <c r="Q926" s="93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1"/>
      <c r="AL926" s="1"/>
      <c r="AM926" s="1"/>
      <c r="AN926" s="94"/>
      <c r="AO926" s="1"/>
      <c r="AP926" s="1"/>
      <c r="AQ926" s="1"/>
      <c r="AR926" s="1"/>
      <c r="AS926" s="1"/>
      <c r="AT926" s="1"/>
      <c r="AU926" s="1"/>
    </row>
    <row r="927" ht="10.5" customHeight="1">
      <c r="A927" s="1"/>
      <c r="B927" s="2"/>
      <c r="C927" s="1"/>
      <c r="D927" s="1"/>
      <c r="E927" s="1"/>
      <c r="F927" s="9"/>
      <c r="G927" s="9"/>
      <c r="H927" s="9"/>
      <c r="I927" s="9"/>
      <c r="J927" s="93"/>
      <c r="K927" s="9"/>
      <c r="L927" s="9"/>
      <c r="M927" s="9"/>
      <c r="N927" s="9"/>
      <c r="O927" s="9"/>
      <c r="P927" s="9"/>
      <c r="Q927" s="93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1"/>
      <c r="AL927" s="1"/>
      <c r="AM927" s="1"/>
      <c r="AN927" s="94"/>
      <c r="AO927" s="1"/>
      <c r="AP927" s="1"/>
      <c r="AQ927" s="1"/>
      <c r="AR927" s="1"/>
      <c r="AS927" s="1"/>
      <c r="AT927" s="1"/>
      <c r="AU927" s="1"/>
    </row>
    <row r="928" ht="10.5" customHeight="1">
      <c r="A928" s="1"/>
      <c r="B928" s="2"/>
      <c r="C928" s="1"/>
      <c r="D928" s="1"/>
      <c r="E928" s="1"/>
      <c r="F928" s="9"/>
      <c r="G928" s="9"/>
      <c r="H928" s="9"/>
      <c r="I928" s="9"/>
      <c r="J928" s="93"/>
      <c r="K928" s="9"/>
      <c r="L928" s="9"/>
      <c r="M928" s="9"/>
      <c r="N928" s="9"/>
      <c r="O928" s="9"/>
      <c r="P928" s="9"/>
      <c r="Q928" s="93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1"/>
      <c r="AL928" s="1"/>
      <c r="AM928" s="1"/>
      <c r="AN928" s="94"/>
      <c r="AO928" s="1"/>
      <c r="AP928" s="1"/>
      <c r="AQ928" s="1"/>
      <c r="AR928" s="1"/>
      <c r="AS928" s="1"/>
      <c r="AT928" s="1"/>
      <c r="AU928" s="1"/>
    </row>
    <row r="929" ht="10.5" customHeight="1">
      <c r="A929" s="1"/>
      <c r="B929" s="2"/>
      <c r="C929" s="1"/>
      <c r="D929" s="1"/>
      <c r="E929" s="1"/>
      <c r="F929" s="9"/>
      <c r="G929" s="9"/>
      <c r="H929" s="9"/>
      <c r="I929" s="9"/>
      <c r="J929" s="93"/>
      <c r="K929" s="9"/>
      <c r="L929" s="9"/>
      <c r="M929" s="9"/>
      <c r="N929" s="9"/>
      <c r="O929" s="9"/>
      <c r="P929" s="9"/>
      <c r="Q929" s="93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1"/>
      <c r="AL929" s="1"/>
      <c r="AM929" s="1"/>
      <c r="AN929" s="94"/>
      <c r="AO929" s="1"/>
      <c r="AP929" s="1"/>
      <c r="AQ929" s="1"/>
      <c r="AR929" s="1"/>
      <c r="AS929" s="1"/>
      <c r="AT929" s="1"/>
      <c r="AU929" s="1"/>
    </row>
    <row r="930" ht="10.5" customHeight="1">
      <c r="A930" s="1"/>
      <c r="B930" s="2"/>
      <c r="C930" s="1"/>
      <c r="D930" s="1"/>
      <c r="E930" s="1"/>
      <c r="F930" s="9"/>
      <c r="G930" s="9"/>
      <c r="H930" s="9"/>
      <c r="I930" s="9"/>
      <c r="J930" s="93"/>
      <c r="K930" s="9"/>
      <c r="L930" s="9"/>
      <c r="M930" s="9"/>
      <c r="N930" s="9"/>
      <c r="O930" s="9"/>
      <c r="P930" s="9"/>
      <c r="Q930" s="93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1"/>
      <c r="AL930" s="1"/>
      <c r="AM930" s="1"/>
      <c r="AN930" s="94"/>
      <c r="AO930" s="1"/>
      <c r="AP930" s="1"/>
      <c r="AQ930" s="1"/>
      <c r="AR930" s="1"/>
      <c r="AS930" s="1"/>
      <c r="AT930" s="1"/>
      <c r="AU930" s="1"/>
    </row>
    <row r="931" ht="10.5" customHeight="1">
      <c r="A931" s="1"/>
      <c r="B931" s="2"/>
      <c r="C931" s="1"/>
      <c r="D931" s="1"/>
      <c r="E931" s="1"/>
      <c r="F931" s="9"/>
      <c r="G931" s="9"/>
      <c r="H931" s="9"/>
      <c r="I931" s="9"/>
      <c r="J931" s="93"/>
      <c r="K931" s="9"/>
      <c r="L931" s="9"/>
      <c r="M931" s="9"/>
      <c r="N931" s="9"/>
      <c r="O931" s="9"/>
      <c r="P931" s="9"/>
      <c r="Q931" s="93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1"/>
      <c r="AL931" s="1"/>
      <c r="AM931" s="1"/>
      <c r="AN931" s="94"/>
      <c r="AO931" s="1"/>
      <c r="AP931" s="1"/>
      <c r="AQ931" s="1"/>
      <c r="AR931" s="1"/>
      <c r="AS931" s="1"/>
      <c r="AT931" s="1"/>
      <c r="AU931" s="1"/>
    </row>
    <row r="932" ht="10.5" customHeight="1">
      <c r="A932" s="1"/>
      <c r="B932" s="2"/>
      <c r="C932" s="1"/>
      <c r="D932" s="1"/>
      <c r="E932" s="1"/>
      <c r="F932" s="9"/>
      <c r="G932" s="9"/>
      <c r="H932" s="9"/>
      <c r="I932" s="9"/>
      <c r="J932" s="93"/>
      <c r="K932" s="9"/>
      <c r="L932" s="9"/>
      <c r="M932" s="9"/>
      <c r="N932" s="9"/>
      <c r="O932" s="9"/>
      <c r="P932" s="9"/>
      <c r="Q932" s="93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1"/>
      <c r="AL932" s="1"/>
      <c r="AM932" s="1"/>
      <c r="AN932" s="94"/>
      <c r="AO932" s="1"/>
      <c r="AP932" s="1"/>
      <c r="AQ932" s="1"/>
      <c r="AR932" s="1"/>
      <c r="AS932" s="1"/>
      <c r="AT932" s="1"/>
      <c r="AU932" s="1"/>
    </row>
    <row r="933" ht="10.5" customHeight="1">
      <c r="A933" s="1"/>
      <c r="B933" s="2"/>
      <c r="C933" s="1"/>
      <c r="D933" s="1"/>
      <c r="E933" s="1"/>
      <c r="F933" s="9"/>
      <c r="G933" s="9"/>
      <c r="H933" s="9"/>
      <c r="I933" s="9"/>
      <c r="J933" s="93"/>
      <c r="K933" s="9"/>
      <c r="L933" s="9"/>
      <c r="M933" s="9"/>
      <c r="N933" s="9"/>
      <c r="O933" s="9"/>
      <c r="P933" s="9"/>
      <c r="Q933" s="93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1"/>
      <c r="AL933" s="1"/>
      <c r="AM933" s="1"/>
      <c r="AN933" s="94"/>
      <c r="AO933" s="1"/>
      <c r="AP933" s="1"/>
      <c r="AQ933" s="1"/>
      <c r="AR933" s="1"/>
      <c r="AS933" s="1"/>
      <c r="AT933" s="1"/>
      <c r="AU933" s="1"/>
    </row>
    <row r="934" ht="10.5" customHeight="1">
      <c r="A934" s="1"/>
      <c r="B934" s="2"/>
      <c r="C934" s="1"/>
      <c r="D934" s="1"/>
      <c r="E934" s="1"/>
      <c r="F934" s="9"/>
      <c r="G934" s="9"/>
      <c r="H934" s="9"/>
      <c r="I934" s="9"/>
      <c r="J934" s="93"/>
      <c r="K934" s="9"/>
      <c r="L934" s="9"/>
      <c r="M934" s="9"/>
      <c r="N934" s="9"/>
      <c r="O934" s="9"/>
      <c r="P934" s="9"/>
      <c r="Q934" s="93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1"/>
      <c r="AL934" s="1"/>
      <c r="AM934" s="1"/>
      <c r="AN934" s="94"/>
      <c r="AO934" s="1"/>
      <c r="AP934" s="1"/>
      <c r="AQ934" s="1"/>
      <c r="AR934" s="1"/>
      <c r="AS934" s="1"/>
      <c r="AT934" s="1"/>
      <c r="AU934" s="1"/>
    </row>
    <row r="935" ht="10.5" customHeight="1">
      <c r="A935" s="1"/>
      <c r="B935" s="2"/>
      <c r="C935" s="1"/>
      <c r="D935" s="1"/>
      <c r="E935" s="1"/>
      <c r="F935" s="9"/>
      <c r="G935" s="9"/>
      <c r="H935" s="9"/>
      <c r="I935" s="9"/>
      <c r="J935" s="93"/>
      <c r="K935" s="9"/>
      <c r="L935" s="9"/>
      <c r="M935" s="9"/>
      <c r="N935" s="9"/>
      <c r="O935" s="9"/>
      <c r="P935" s="9"/>
      <c r="Q935" s="93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1"/>
      <c r="AL935" s="1"/>
      <c r="AM935" s="1"/>
      <c r="AN935" s="94"/>
      <c r="AO935" s="1"/>
      <c r="AP935" s="1"/>
      <c r="AQ935" s="1"/>
      <c r="AR935" s="1"/>
      <c r="AS935" s="1"/>
      <c r="AT935" s="1"/>
      <c r="AU935" s="1"/>
    </row>
    <row r="936" ht="10.5" customHeight="1">
      <c r="A936" s="1"/>
      <c r="B936" s="2"/>
      <c r="C936" s="1"/>
      <c r="D936" s="1"/>
      <c r="E936" s="1"/>
      <c r="F936" s="9"/>
      <c r="G936" s="9"/>
      <c r="H936" s="9"/>
      <c r="I936" s="9"/>
      <c r="J936" s="93"/>
      <c r="K936" s="9"/>
      <c r="L936" s="9"/>
      <c r="M936" s="9"/>
      <c r="N936" s="9"/>
      <c r="O936" s="9"/>
      <c r="P936" s="9"/>
      <c r="Q936" s="93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1"/>
      <c r="AL936" s="1"/>
      <c r="AM936" s="1"/>
      <c r="AN936" s="94"/>
      <c r="AO936" s="1"/>
      <c r="AP936" s="1"/>
      <c r="AQ936" s="1"/>
      <c r="AR936" s="1"/>
      <c r="AS936" s="1"/>
      <c r="AT936" s="1"/>
      <c r="AU936" s="1"/>
    </row>
    <row r="937" ht="10.5" customHeight="1">
      <c r="A937" s="1"/>
      <c r="B937" s="2"/>
      <c r="C937" s="1"/>
      <c r="D937" s="1"/>
      <c r="E937" s="1"/>
      <c r="F937" s="9"/>
      <c r="G937" s="9"/>
      <c r="H937" s="9"/>
      <c r="I937" s="9"/>
      <c r="J937" s="93"/>
      <c r="K937" s="9"/>
      <c r="L937" s="9"/>
      <c r="M937" s="9"/>
      <c r="N937" s="9"/>
      <c r="O937" s="9"/>
      <c r="P937" s="9"/>
      <c r="Q937" s="93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1"/>
      <c r="AL937" s="1"/>
      <c r="AM937" s="1"/>
      <c r="AN937" s="94"/>
      <c r="AO937" s="1"/>
      <c r="AP937" s="1"/>
      <c r="AQ937" s="1"/>
      <c r="AR937" s="1"/>
      <c r="AS937" s="1"/>
      <c r="AT937" s="1"/>
      <c r="AU937" s="1"/>
    </row>
    <row r="938" ht="10.5" customHeight="1">
      <c r="A938" s="1"/>
      <c r="B938" s="2"/>
      <c r="C938" s="1"/>
      <c r="D938" s="1"/>
      <c r="E938" s="1"/>
      <c r="F938" s="9"/>
      <c r="G938" s="9"/>
      <c r="H938" s="9"/>
      <c r="I938" s="9"/>
      <c r="J938" s="93"/>
      <c r="K938" s="9"/>
      <c r="L938" s="9"/>
      <c r="M938" s="9"/>
      <c r="N938" s="9"/>
      <c r="O938" s="9"/>
      <c r="P938" s="9"/>
      <c r="Q938" s="93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1"/>
      <c r="AL938" s="1"/>
      <c r="AM938" s="1"/>
      <c r="AN938" s="94"/>
      <c r="AO938" s="1"/>
      <c r="AP938" s="1"/>
      <c r="AQ938" s="1"/>
      <c r="AR938" s="1"/>
      <c r="AS938" s="1"/>
      <c r="AT938" s="1"/>
      <c r="AU938" s="1"/>
    </row>
    <row r="939" ht="10.5" customHeight="1">
      <c r="A939" s="1"/>
      <c r="B939" s="2"/>
      <c r="C939" s="1"/>
      <c r="D939" s="1"/>
      <c r="E939" s="1"/>
      <c r="F939" s="9"/>
      <c r="G939" s="9"/>
      <c r="H939" s="9"/>
      <c r="I939" s="9"/>
      <c r="J939" s="93"/>
      <c r="K939" s="9"/>
      <c r="L939" s="9"/>
      <c r="M939" s="9"/>
      <c r="N939" s="9"/>
      <c r="O939" s="9"/>
      <c r="P939" s="9"/>
      <c r="Q939" s="93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1"/>
      <c r="AL939" s="1"/>
      <c r="AM939" s="1"/>
      <c r="AN939" s="94"/>
      <c r="AO939" s="1"/>
      <c r="AP939" s="1"/>
      <c r="AQ939" s="1"/>
      <c r="AR939" s="1"/>
      <c r="AS939" s="1"/>
      <c r="AT939" s="1"/>
      <c r="AU939" s="1"/>
    </row>
    <row r="940" ht="10.5" customHeight="1">
      <c r="A940" s="1"/>
      <c r="B940" s="2"/>
      <c r="C940" s="1"/>
      <c r="D940" s="1"/>
      <c r="E940" s="1"/>
      <c r="F940" s="9"/>
      <c r="G940" s="9"/>
      <c r="H940" s="9"/>
      <c r="I940" s="9"/>
      <c r="J940" s="93"/>
      <c r="K940" s="9"/>
      <c r="L940" s="9"/>
      <c r="M940" s="9"/>
      <c r="N940" s="9"/>
      <c r="O940" s="9"/>
      <c r="P940" s="9"/>
      <c r="Q940" s="93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1"/>
      <c r="AL940" s="1"/>
      <c r="AM940" s="1"/>
      <c r="AN940" s="94"/>
      <c r="AO940" s="1"/>
      <c r="AP940" s="1"/>
      <c r="AQ940" s="1"/>
      <c r="AR940" s="1"/>
      <c r="AS940" s="1"/>
      <c r="AT940" s="1"/>
      <c r="AU940" s="1"/>
    </row>
    <row r="941" ht="10.5" customHeight="1">
      <c r="A941" s="1"/>
      <c r="B941" s="2"/>
      <c r="C941" s="1"/>
      <c r="D941" s="1"/>
      <c r="E941" s="1"/>
      <c r="F941" s="9"/>
      <c r="G941" s="9"/>
      <c r="H941" s="9"/>
      <c r="I941" s="9"/>
      <c r="J941" s="93"/>
      <c r="K941" s="9"/>
      <c r="L941" s="9"/>
      <c r="M941" s="9"/>
      <c r="N941" s="9"/>
      <c r="O941" s="9"/>
      <c r="P941" s="9"/>
      <c r="Q941" s="93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1"/>
      <c r="AL941" s="1"/>
      <c r="AM941" s="1"/>
      <c r="AN941" s="94"/>
      <c r="AO941" s="1"/>
      <c r="AP941" s="1"/>
      <c r="AQ941" s="1"/>
      <c r="AR941" s="1"/>
      <c r="AS941" s="1"/>
      <c r="AT941" s="1"/>
      <c r="AU941" s="1"/>
    </row>
    <row r="942" ht="10.5" customHeight="1">
      <c r="A942" s="1"/>
      <c r="B942" s="2"/>
      <c r="C942" s="1"/>
      <c r="D942" s="1"/>
      <c r="E942" s="1"/>
      <c r="F942" s="9"/>
      <c r="G942" s="9"/>
      <c r="H942" s="9"/>
      <c r="I942" s="9"/>
      <c r="J942" s="93"/>
      <c r="K942" s="9"/>
      <c r="L942" s="9"/>
      <c r="M942" s="9"/>
      <c r="N942" s="9"/>
      <c r="O942" s="9"/>
      <c r="P942" s="9"/>
      <c r="Q942" s="93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1"/>
      <c r="AL942" s="1"/>
      <c r="AM942" s="1"/>
      <c r="AN942" s="94"/>
      <c r="AO942" s="1"/>
      <c r="AP942" s="1"/>
      <c r="AQ942" s="1"/>
      <c r="AR942" s="1"/>
      <c r="AS942" s="1"/>
      <c r="AT942" s="1"/>
      <c r="AU942" s="1"/>
    </row>
    <row r="943" ht="10.5" customHeight="1">
      <c r="A943" s="1"/>
      <c r="B943" s="2"/>
      <c r="C943" s="1"/>
      <c r="D943" s="1"/>
      <c r="E943" s="1"/>
      <c r="F943" s="9"/>
      <c r="G943" s="9"/>
      <c r="H943" s="9"/>
      <c r="I943" s="9"/>
      <c r="J943" s="93"/>
      <c r="K943" s="9"/>
      <c r="L943" s="9"/>
      <c r="M943" s="9"/>
      <c r="N943" s="9"/>
      <c r="O943" s="9"/>
      <c r="P943" s="9"/>
      <c r="Q943" s="93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1"/>
      <c r="AL943" s="1"/>
      <c r="AM943" s="1"/>
      <c r="AN943" s="94"/>
      <c r="AO943" s="1"/>
      <c r="AP943" s="1"/>
      <c r="AQ943" s="1"/>
      <c r="AR943" s="1"/>
      <c r="AS943" s="1"/>
      <c r="AT943" s="1"/>
      <c r="AU943" s="1"/>
    </row>
    <row r="944" ht="10.5" customHeight="1">
      <c r="A944" s="1"/>
      <c r="B944" s="2"/>
      <c r="C944" s="1"/>
      <c r="D944" s="1"/>
      <c r="E944" s="1"/>
      <c r="F944" s="9"/>
      <c r="G944" s="9"/>
      <c r="H944" s="9"/>
      <c r="I944" s="9"/>
      <c r="J944" s="93"/>
      <c r="K944" s="9"/>
      <c r="L944" s="9"/>
      <c r="M944" s="9"/>
      <c r="N944" s="9"/>
      <c r="O944" s="9"/>
      <c r="P944" s="9"/>
      <c r="Q944" s="93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1"/>
      <c r="AL944" s="1"/>
      <c r="AM944" s="1"/>
      <c r="AN944" s="94"/>
      <c r="AO944" s="1"/>
      <c r="AP944" s="1"/>
      <c r="AQ944" s="1"/>
      <c r="AR944" s="1"/>
      <c r="AS944" s="1"/>
      <c r="AT944" s="1"/>
      <c r="AU944" s="1"/>
    </row>
    <row r="945" ht="10.5" customHeight="1">
      <c r="A945" s="1"/>
      <c r="B945" s="2"/>
      <c r="C945" s="1"/>
      <c r="D945" s="1"/>
      <c r="E945" s="1"/>
      <c r="F945" s="9"/>
      <c r="G945" s="9"/>
      <c r="H945" s="9"/>
      <c r="I945" s="9"/>
      <c r="J945" s="93"/>
      <c r="K945" s="9"/>
      <c r="L945" s="9"/>
      <c r="M945" s="9"/>
      <c r="N945" s="9"/>
      <c r="O945" s="9"/>
      <c r="P945" s="9"/>
      <c r="Q945" s="93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1"/>
      <c r="AL945" s="1"/>
      <c r="AM945" s="1"/>
      <c r="AN945" s="94"/>
      <c r="AO945" s="1"/>
      <c r="AP945" s="1"/>
      <c r="AQ945" s="1"/>
      <c r="AR945" s="1"/>
      <c r="AS945" s="1"/>
      <c r="AT945" s="1"/>
      <c r="AU945" s="1"/>
    </row>
    <row r="946" ht="10.5" customHeight="1">
      <c r="A946" s="1"/>
      <c r="B946" s="2"/>
      <c r="C946" s="1"/>
      <c r="D946" s="1"/>
      <c r="E946" s="1"/>
      <c r="F946" s="9"/>
      <c r="G946" s="9"/>
      <c r="H946" s="9"/>
      <c r="I946" s="9"/>
      <c r="J946" s="93"/>
      <c r="K946" s="9"/>
      <c r="L946" s="9"/>
      <c r="M946" s="9"/>
      <c r="N946" s="9"/>
      <c r="O946" s="9"/>
      <c r="P946" s="9"/>
      <c r="Q946" s="93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1"/>
      <c r="AL946" s="1"/>
      <c r="AM946" s="1"/>
      <c r="AN946" s="94"/>
      <c r="AO946" s="1"/>
      <c r="AP946" s="1"/>
      <c r="AQ946" s="1"/>
      <c r="AR946" s="1"/>
      <c r="AS946" s="1"/>
      <c r="AT946" s="1"/>
      <c r="AU946" s="1"/>
    </row>
    <row r="947" ht="10.5" customHeight="1">
      <c r="A947" s="1"/>
      <c r="B947" s="2"/>
      <c r="C947" s="1"/>
      <c r="D947" s="1"/>
      <c r="E947" s="1"/>
      <c r="F947" s="9"/>
      <c r="G947" s="9"/>
      <c r="H947" s="9"/>
      <c r="I947" s="9"/>
      <c r="J947" s="93"/>
      <c r="K947" s="9"/>
      <c r="L947" s="9"/>
      <c r="M947" s="9"/>
      <c r="N947" s="9"/>
      <c r="O947" s="9"/>
      <c r="P947" s="9"/>
      <c r="Q947" s="93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1"/>
      <c r="AL947" s="1"/>
      <c r="AM947" s="1"/>
      <c r="AN947" s="94"/>
      <c r="AO947" s="1"/>
      <c r="AP947" s="1"/>
      <c r="AQ947" s="1"/>
      <c r="AR947" s="1"/>
      <c r="AS947" s="1"/>
      <c r="AT947" s="1"/>
      <c r="AU947" s="1"/>
    </row>
    <row r="948" ht="10.5" customHeight="1">
      <c r="A948" s="1"/>
      <c r="B948" s="2"/>
      <c r="C948" s="1"/>
      <c r="D948" s="1"/>
      <c r="E948" s="1"/>
      <c r="F948" s="9"/>
      <c r="G948" s="9"/>
      <c r="H948" s="9"/>
      <c r="I948" s="9"/>
      <c r="J948" s="93"/>
      <c r="K948" s="9"/>
      <c r="L948" s="9"/>
      <c r="M948" s="9"/>
      <c r="N948" s="9"/>
      <c r="O948" s="9"/>
      <c r="P948" s="9"/>
      <c r="Q948" s="93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1"/>
      <c r="AL948" s="1"/>
      <c r="AM948" s="1"/>
      <c r="AN948" s="94"/>
      <c r="AO948" s="1"/>
      <c r="AP948" s="1"/>
      <c r="AQ948" s="1"/>
      <c r="AR948" s="1"/>
      <c r="AS948" s="1"/>
      <c r="AT948" s="1"/>
      <c r="AU948" s="1"/>
    </row>
    <row r="949" ht="10.5" customHeight="1">
      <c r="A949" s="1"/>
      <c r="B949" s="2"/>
      <c r="C949" s="1"/>
      <c r="D949" s="1"/>
      <c r="E949" s="1"/>
      <c r="F949" s="9"/>
      <c r="G949" s="9"/>
      <c r="H949" s="9"/>
      <c r="I949" s="9"/>
      <c r="J949" s="93"/>
      <c r="K949" s="9"/>
      <c r="L949" s="9"/>
      <c r="M949" s="9"/>
      <c r="N949" s="9"/>
      <c r="O949" s="9"/>
      <c r="P949" s="9"/>
      <c r="Q949" s="93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1"/>
      <c r="AL949" s="1"/>
      <c r="AM949" s="1"/>
      <c r="AN949" s="94"/>
      <c r="AO949" s="1"/>
      <c r="AP949" s="1"/>
      <c r="AQ949" s="1"/>
      <c r="AR949" s="1"/>
      <c r="AS949" s="1"/>
      <c r="AT949" s="1"/>
      <c r="AU949" s="1"/>
    </row>
    <row r="950" ht="10.5" customHeight="1">
      <c r="A950" s="1"/>
      <c r="B950" s="2"/>
      <c r="C950" s="1"/>
      <c r="D950" s="1"/>
      <c r="E950" s="1"/>
      <c r="F950" s="9"/>
      <c r="G950" s="9"/>
      <c r="H950" s="9"/>
      <c r="I950" s="9"/>
      <c r="J950" s="93"/>
      <c r="K950" s="9"/>
      <c r="L950" s="9"/>
      <c r="M950" s="9"/>
      <c r="N950" s="9"/>
      <c r="O950" s="9"/>
      <c r="P950" s="9"/>
      <c r="Q950" s="93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1"/>
      <c r="AL950" s="1"/>
      <c r="AM950" s="1"/>
      <c r="AN950" s="94"/>
      <c r="AO950" s="1"/>
      <c r="AP950" s="1"/>
      <c r="AQ950" s="1"/>
      <c r="AR950" s="1"/>
      <c r="AS950" s="1"/>
      <c r="AT950" s="1"/>
      <c r="AU950" s="1"/>
    </row>
    <row r="951" ht="10.5" customHeight="1">
      <c r="A951" s="1"/>
      <c r="B951" s="2"/>
      <c r="C951" s="1"/>
      <c r="D951" s="1"/>
      <c r="E951" s="1"/>
      <c r="F951" s="9"/>
      <c r="G951" s="9"/>
      <c r="H951" s="9"/>
      <c r="I951" s="9"/>
      <c r="J951" s="93"/>
      <c r="K951" s="9"/>
      <c r="L951" s="9"/>
      <c r="M951" s="9"/>
      <c r="N951" s="9"/>
      <c r="O951" s="9"/>
      <c r="P951" s="9"/>
      <c r="Q951" s="93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1"/>
      <c r="AL951" s="1"/>
      <c r="AM951" s="1"/>
      <c r="AN951" s="94"/>
      <c r="AO951" s="1"/>
      <c r="AP951" s="1"/>
      <c r="AQ951" s="1"/>
      <c r="AR951" s="1"/>
      <c r="AS951" s="1"/>
      <c r="AT951" s="1"/>
      <c r="AU951" s="1"/>
    </row>
    <row r="952" ht="10.5" customHeight="1">
      <c r="A952" s="1"/>
      <c r="B952" s="2"/>
      <c r="C952" s="1"/>
      <c r="D952" s="1"/>
      <c r="E952" s="1"/>
      <c r="F952" s="9"/>
      <c r="G952" s="9"/>
      <c r="H952" s="9"/>
      <c r="I952" s="9"/>
      <c r="J952" s="93"/>
      <c r="K952" s="9"/>
      <c r="L952" s="9"/>
      <c r="M952" s="9"/>
      <c r="N952" s="9"/>
      <c r="O952" s="9"/>
      <c r="P952" s="9"/>
      <c r="Q952" s="93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1"/>
      <c r="AL952" s="1"/>
      <c r="AM952" s="1"/>
      <c r="AN952" s="94"/>
      <c r="AO952" s="1"/>
      <c r="AP952" s="1"/>
      <c r="AQ952" s="1"/>
      <c r="AR952" s="1"/>
      <c r="AS952" s="1"/>
      <c r="AT952" s="1"/>
      <c r="AU952" s="1"/>
    </row>
    <row r="953" ht="10.5" customHeight="1">
      <c r="A953" s="1"/>
      <c r="B953" s="2"/>
      <c r="C953" s="1"/>
      <c r="D953" s="1"/>
      <c r="E953" s="1"/>
      <c r="F953" s="9"/>
      <c r="G953" s="9"/>
      <c r="H953" s="9"/>
      <c r="I953" s="9"/>
      <c r="J953" s="93"/>
      <c r="K953" s="9"/>
      <c r="L953" s="9"/>
      <c r="M953" s="9"/>
      <c r="N953" s="9"/>
      <c r="O953" s="9"/>
      <c r="P953" s="9"/>
      <c r="Q953" s="93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1"/>
      <c r="AL953" s="1"/>
      <c r="AM953" s="1"/>
      <c r="AN953" s="94"/>
      <c r="AO953" s="1"/>
      <c r="AP953" s="1"/>
      <c r="AQ953" s="1"/>
      <c r="AR953" s="1"/>
      <c r="AS953" s="1"/>
      <c r="AT953" s="1"/>
      <c r="AU953" s="1"/>
    </row>
    <row r="954" ht="10.5" customHeight="1">
      <c r="A954" s="1"/>
      <c r="B954" s="2"/>
      <c r="C954" s="1"/>
      <c r="D954" s="1"/>
      <c r="E954" s="1"/>
      <c r="F954" s="9"/>
      <c r="G954" s="9"/>
      <c r="H954" s="9"/>
      <c r="I954" s="9"/>
      <c r="J954" s="93"/>
      <c r="K954" s="9"/>
      <c r="L954" s="9"/>
      <c r="M954" s="9"/>
      <c r="N954" s="9"/>
      <c r="O954" s="9"/>
      <c r="P954" s="9"/>
      <c r="Q954" s="93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1"/>
      <c r="AL954" s="1"/>
      <c r="AM954" s="1"/>
      <c r="AN954" s="94"/>
      <c r="AO954" s="1"/>
      <c r="AP954" s="1"/>
      <c r="AQ954" s="1"/>
      <c r="AR954" s="1"/>
      <c r="AS954" s="1"/>
      <c r="AT954" s="1"/>
      <c r="AU954" s="1"/>
    </row>
    <row r="955" ht="10.5" customHeight="1">
      <c r="A955" s="1"/>
      <c r="B955" s="2"/>
      <c r="C955" s="1"/>
      <c r="D955" s="1"/>
      <c r="E955" s="1"/>
      <c r="F955" s="9"/>
      <c r="G955" s="9"/>
      <c r="H955" s="9"/>
      <c r="I955" s="9"/>
      <c r="J955" s="93"/>
      <c r="K955" s="9"/>
      <c r="L955" s="9"/>
      <c r="M955" s="9"/>
      <c r="N955" s="9"/>
      <c r="O955" s="9"/>
      <c r="P955" s="9"/>
      <c r="Q955" s="93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1"/>
      <c r="AL955" s="1"/>
      <c r="AM955" s="1"/>
      <c r="AN955" s="94"/>
      <c r="AO955" s="1"/>
      <c r="AP955" s="1"/>
      <c r="AQ955" s="1"/>
      <c r="AR955" s="1"/>
      <c r="AS955" s="1"/>
      <c r="AT955" s="1"/>
      <c r="AU955" s="1"/>
    </row>
    <row r="956" ht="10.5" customHeight="1">
      <c r="A956" s="1"/>
      <c r="B956" s="2"/>
      <c r="C956" s="1"/>
      <c r="D956" s="1"/>
      <c r="E956" s="1"/>
      <c r="F956" s="9"/>
      <c r="G956" s="9"/>
      <c r="H956" s="9"/>
      <c r="I956" s="9"/>
      <c r="J956" s="93"/>
      <c r="K956" s="9"/>
      <c r="L956" s="9"/>
      <c r="M956" s="9"/>
      <c r="N956" s="9"/>
      <c r="O956" s="9"/>
      <c r="P956" s="9"/>
      <c r="Q956" s="93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1"/>
      <c r="AL956" s="1"/>
      <c r="AM956" s="1"/>
      <c r="AN956" s="94"/>
      <c r="AO956" s="1"/>
      <c r="AP956" s="1"/>
      <c r="AQ956" s="1"/>
      <c r="AR956" s="1"/>
      <c r="AS956" s="1"/>
      <c r="AT956" s="1"/>
      <c r="AU956" s="1"/>
    </row>
    <row r="957" ht="10.5" customHeight="1">
      <c r="A957" s="1"/>
      <c r="B957" s="2"/>
      <c r="C957" s="1"/>
      <c r="D957" s="1"/>
      <c r="E957" s="1"/>
      <c r="F957" s="9"/>
      <c r="G957" s="9"/>
      <c r="H957" s="9"/>
      <c r="I957" s="9"/>
      <c r="J957" s="93"/>
      <c r="K957" s="9"/>
      <c r="L957" s="9"/>
      <c r="M957" s="9"/>
      <c r="N957" s="9"/>
      <c r="O957" s="9"/>
      <c r="P957" s="9"/>
      <c r="Q957" s="93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1"/>
      <c r="AL957" s="1"/>
      <c r="AM957" s="1"/>
      <c r="AN957" s="94"/>
      <c r="AO957" s="1"/>
      <c r="AP957" s="1"/>
      <c r="AQ957" s="1"/>
      <c r="AR957" s="1"/>
      <c r="AS957" s="1"/>
      <c r="AT957" s="1"/>
      <c r="AU957" s="1"/>
    </row>
    <row r="958" ht="10.5" customHeight="1">
      <c r="A958" s="1"/>
      <c r="B958" s="2"/>
      <c r="C958" s="1"/>
      <c r="D958" s="1"/>
      <c r="E958" s="1"/>
      <c r="F958" s="9"/>
      <c r="G958" s="9"/>
      <c r="H958" s="9"/>
      <c r="I958" s="9"/>
      <c r="J958" s="93"/>
      <c r="K958" s="9"/>
      <c r="L958" s="9"/>
      <c r="M958" s="9"/>
      <c r="N958" s="9"/>
      <c r="O958" s="9"/>
      <c r="P958" s="9"/>
      <c r="Q958" s="93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1"/>
      <c r="AL958" s="1"/>
      <c r="AM958" s="1"/>
      <c r="AN958" s="94"/>
      <c r="AO958" s="1"/>
      <c r="AP958" s="1"/>
      <c r="AQ958" s="1"/>
      <c r="AR958" s="1"/>
      <c r="AS958" s="1"/>
      <c r="AT958" s="1"/>
      <c r="AU958" s="1"/>
    </row>
    <row r="959" ht="10.5" customHeight="1">
      <c r="A959" s="1"/>
      <c r="B959" s="2"/>
      <c r="C959" s="1"/>
      <c r="D959" s="1"/>
      <c r="E959" s="1"/>
      <c r="F959" s="9"/>
      <c r="G959" s="9"/>
      <c r="H959" s="9"/>
      <c r="I959" s="9"/>
      <c r="J959" s="93"/>
      <c r="K959" s="9"/>
      <c r="L959" s="9"/>
      <c r="M959" s="9"/>
      <c r="N959" s="9"/>
      <c r="O959" s="9"/>
      <c r="P959" s="9"/>
      <c r="Q959" s="93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1"/>
      <c r="AL959" s="1"/>
      <c r="AM959" s="1"/>
      <c r="AN959" s="94"/>
      <c r="AO959" s="1"/>
      <c r="AP959" s="1"/>
      <c r="AQ959" s="1"/>
      <c r="AR959" s="1"/>
      <c r="AS959" s="1"/>
      <c r="AT959" s="1"/>
      <c r="AU959" s="1"/>
    </row>
    <row r="960" ht="10.5" customHeight="1">
      <c r="A960" s="1"/>
      <c r="B960" s="2"/>
      <c r="C960" s="1"/>
      <c r="D960" s="1"/>
      <c r="E960" s="1"/>
      <c r="F960" s="9"/>
      <c r="G960" s="9"/>
      <c r="H960" s="9"/>
      <c r="I960" s="9"/>
      <c r="J960" s="93"/>
      <c r="K960" s="9"/>
      <c r="L960" s="9"/>
      <c r="M960" s="9"/>
      <c r="N960" s="9"/>
      <c r="O960" s="9"/>
      <c r="P960" s="9"/>
      <c r="Q960" s="93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1"/>
      <c r="AL960" s="1"/>
      <c r="AM960" s="1"/>
      <c r="AN960" s="94"/>
      <c r="AO960" s="1"/>
      <c r="AP960" s="1"/>
      <c r="AQ960" s="1"/>
      <c r="AR960" s="1"/>
      <c r="AS960" s="1"/>
      <c r="AT960" s="1"/>
      <c r="AU960" s="1"/>
    </row>
    <row r="961" ht="10.5" customHeight="1">
      <c r="A961" s="1"/>
      <c r="B961" s="2"/>
      <c r="C961" s="1"/>
      <c r="D961" s="1"/>
      <c r="E961" s="1"/>
      <c r="F961" s="9"/>
      <c r="G961" s="9"/>
      <c r="H961" s="9"/>
      <c r="I961" s="9"/>
      <c r="J961" s="93"/>
      <c r="K961" s="9"/>
      <c r="L961" s="9"/>
      <c r="M961" s="9"/>
      <c r="N961" s="9"/>
      <c r="O961" s="9"/>
      <c r="P961" s="9"/>
      <c r="Q961" s="93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1"/>
      <c r="AL961" s="1"/>
      <c r="AM961" s="1"/>
      <c r="AN961" s="94"/>
      <c r="AO961" s="1"/>
      <c r="AP961" s="1"/>
      <c r="AQ961" s="1"/>
      <c r="AR961" s="1"/>
      <c r="AS961" s="1"/>
      <c r="AT961" s="1"/>
      <c r="AU961" s="1"/>
    </row>
    <row r="962" ht="10.5" customHeight="1">
      <c r="A962" s="1"/>
      <c r="B962" s="2"/>
      <c r="C962" s="1"/>
      <c r="D962" s="1"/>
      <c r="E962" s="1"/>
      <c r="F962" s="9"/>
      <c r="G962" s="9"/>
      <c r="H962" s="9"/>
      <c r="I962" s="9"/>
      <c r="J962" s="93"/>
      <c r="K962" s="9"/>
      <c r="L962" s="9"/>
      <c r="M962" s="9"/>
      <c r="N962" s="9"/>
      <c r="O962" s="9"/>
      <c r="P962" s="9"/>
      <c r="Q962" s="93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1"/>
      <c r="AL962" s="1"/>
      <c r="AM962" s="1"/>
      <c r="AN962" s="94"/>
      <c r="AO962" s="1"/>
      <c r="AP962" s="1"/>
      <c r="AQ962" s="1"/>
      <c r="AR962" s="1"/>
      <c r="AS962" s="1"/>
      <c r="AT962" s="1"/>
      <c r="AU962" s="1"/>
    </row>
    <row r="963" ht="10.5" customHeight="1">
      <c r="A963" s="1"/>
      <c r="B963" s="2"/>
      <c r="C963" s="1"/>
      <c r="D963" s="1"/>
      <c r="E963" s="1"/>
      <c r="F963" s="9"/>
      <c r="G963" s="9"/>
      <c r="H963" s="9"/>
      <c r="I963" s="9"/>
      <c r="J963" s="93"/>
      <c r="K963" s="9"/>
      <c r="L963" s="9"/>
      <c r="M963" s="9"/>
      <c r="N963" s="9"/>
      <c r="O963" s="9"/>
      <c r="P963" s="9"/>
      <c r="Q963" s="93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1"/>
      <c r="AL963" s="1"/>
      <c r="AM963" s="1"/>
      <c r="AN963" s="94"/>
      <c r="AO963" s="1"/>
      <c r="AP963" s="1"/>
      <c r="AQ963" s="1"/>
      <c r="AR963" s="1"/>
      <c r="AS963" s="1"/>
      <c r="AT963" s="1"/>
      <c r="AU963" s="1"/>
    </row>
    <row r="964" ht="10.5" customHeight="1">
      <c r="A964" s="1"/>
      <c r="B964" s="2"/>
      <c r="C964" s="1"/>
      <c r="D964" s="1"/>
      <c r="E964" s="1"/>
      <c r="F964" s="9"/>
      <c r="G964" s="9"/>
      <c r="H964" s="9"/>
      <c r="I964" s="9"/>
      <c r="J964" s="93"/>
      <c r="K964" s="9"/>
      <c r="L964" s="9"/>
      <c r="M964" s="9"/>
      <c r="N964" s="9"/>
      <c r="O964" s="9"/>
      <c r="P964" s="9"/>
      <c r="Q964" s="93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1"/>
      <c r="AL964" s="1"/>
      <c r="AM964" s="1"/>
      <c r="AN964" s="94"/>
      <c r="AO964" s="1"/>
      <c r="AP964" s="1"/>
      <c r="AQ964" s="1"/>
      <c r="AR964" s="1"/>
      <c r="AS964" s="1"/>
      <c r="AT964" s="1"/>
      <c r="AU964" s="1"/>
    </row>
    <row r="965" ht="10.5" customHeight="1">
      <c r="A965" s="1"/>
      <c r="B965" s="2"/>
      <c r="C965" s="1"/>
      <c r="D965" s="1"/>
      <c r="E965" s="1"/>
      <c r="F965" s="9"/>
      <c r="G965" s="9"/>
      <c r="H965" s="9"/>
      <c r="I965" s="9"/>
      <c r="J965" s="93"/>
      <c r="K965" s="9"/>
      <c r="L965" s="9"/>
      <c r="M965" s="9"/>
      <c r="N965" s="9"/>
      <c r="O965" s="9"/>
      <c r="P965" s="9"/>
      <c r="Q965" s="93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1"/>
      <c r="AL965" s="1"/>
      <c r="AM965" s="1"/>
      <c r="AN965" s="94"/>
      <c r="AO965" s="1"/>
      <c r="AP965" s="1"/>
      <c r="AQ965" s="1"/>
      <c r="AR965" s="1"/>
      <c r="AS965" s="1"/>
      <c r="AT965" s="1"/>
      <c r="AU965" s="1"/>
    </row>
    <row r="966" ht="10.5" customHeight="1">
      <c r="A966" s="1"/>
      <c r="B966" s="2"/>
      <c r="C966" s="1"/>
      <c r="D966" s="1"/>
      <c r="E966" s="1"/>
      <c r="F966" s="9"/>
      <c r="G966" s="9"/>
      <c r="H966" s="9"/>
      <c r="I966" s="9"/>
      <c r="J966" s="93"/>
      <c r="K966" s="9"/>
      <c r="L966" s="9"/>
      <c r="M966" s="9"/>
      <c r="N966" s="9"/>
      <c r="O966" s="9"/>
      <c r="P966" s="9"/>
      <c r="Q966" s="93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1"/>
      <c r="AL966" s="1"/>
      <c r="AM966" s="1"/>
      <c r="AN966" s="94"/>
      <c r="AO966" s="1"/>
      <c r="AP966" s="1"/>
      <c r="AQ966" s="1"/>
      <c r="AR966" s="1"/>
      <c r="AS966" s="1"/>
      <c r="AT966" s="1"/>
      <c r="AU966" s="1"/>
    </row>
    <row r="967" ht="10.5" customHeight="1">
      <c r="A967" s="1"/>
      <c r="B967" s="2"/>
      <c r="C967" s="1"/>
      <c r="D967" s="1"/>
      <c r="E967" s="1"/>
      <c r="F967" s="9"/>
      <c r="G967" s="9"/>
      <c r="H967" s="9"/>
      <c r="I967" s="9"/>
      <c r="J967" s="93"/>
      <c r="K967" s="9"/>
      <c r="L967" s="9"/>
      <c r="M967" s="9"/>
      <c r="N967" s="9"/>
      <c r="O967" s="9"/>
      <c r="P967" s="9"/>
      <c r="Q967" s="93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1"/>
      <c r="AL967" s="1"/>
      <c r="AM967" s="1"/>
      <c r="AN967" s="94"/>
      <c r="AO967" s="1"/>
      <c r="AP967" s="1"/>
      <c r="AQ967" s="1"/>
      <c r="AR967" s="1"/>
      <c r="AS967" s="1"/>
      <c r="AT967" s="1"/>
      <c r="AU967" s="1"/>
    </row>
    <row r="968" ht="10.5" customHeight="1">
      <c r="A968" s="1"/>
      <c r="B968" s="2"/>
      <c r="C968" s="1"/>
      <c r="D968" s="1"/>
      <c r="E968" s="1"/>
      <c r="F968" s="9"/>
      <c r="G968" s="9"/>
      <c r="H968" s="9"/>
      <c r="I968" s="9"/>
      <c r="J968" s="93"/>
      <c r="K968" s="9"/>
      <c r="L968" s="9"/>
      <c r="M968" s="9"/>
      <c r="N968" s="9"/>
      <c r="O968" s="9"/>
      <c r="P968" s="9"/>
      <c r="Q968" s="93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1"/>
      <c r="AL968" s="1"/>
      <c r="AM968" s="1"/>
      <c r="AN968" s="94"/>
      <c r="AO968" s="1"/>
      <c r="AP968" s="1"/>
      <c r="AQ968" s="1"/>
      <c r="AR968" s="1"/>
      <c r="AS968" s="1"/>
      <c r="AT968" s="1"/>
      <c r="AU968" s="1"/>
    </row>
    <row r="969" ht="10.5" customHeight="1">
      <c r="A969" s="1"/>
      <c r="B969" s="2"/>
      <c r="C969" s="1"/>
      <c r="D969" s="1"/>
      <c r="E969" s="1"/>
      <c r="F969" s="9"/>
      <c r="G969" s="9"/>
      <c r="H969" s="9"/>
      <c r="I969" s="9"/>
      <c r="J969" s="93"/>
      <c r="K969" s="9"/>
      <c r="L969" s="9"/>
      <c r="M969" s="9"/>
      <c r="N969" s="9"/>
      <c r="O969" s="9"/>
      <c r="P969" s="9"/>
      <c r="Q969" s="93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1"/>
      <c r="AL969" s="1"/>
      <c r="AM969" s="1"/>
      <c r="AN969" s="94"/>
      <c r="AO969" s="1"/>
      <c r="AP969" s="1"/>
      <c r="AQ969" s="1"/>
      <c r="AR969" s="1"/>
      <c r="AS969" s="1"/>
      <c r="AT969" s="1"/>
      <c r="AU969" s="1"/>
    </row>
    <row r="970" ht="10.5" customHeight="1">
      <c r="A970" s="1"/>
      <c r="B970" s="2"/>
      <c r="C970" s="1"/>
      <c r="D970" s="1"/>
      <c r="E970" s="1"/>
      <c r="F970" s="9"/>
      <c r="G970" s="9"/>
      <c r="H970" s="9"/>
      <c r="I970" s="9"/>
      <c r="J970" s="93"/>
      <c r="K970" s="9"/>
      <c r="L970" s="9"/>
      <c r="M970" s="9"/>
      <c r="N970" s="9"/>
      <c r="O970" s="9"/>
      <c r="P970" s="9"/>
      <c r="Q970" s="93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1"/>
      <c r="AL970" s="1"/>
      <c r="AM970" s="1"/>
      <c r="AN970" s="94"/>
      <c r="AO970" s="1"/>
      <c r="AP970" s="1"/>
      <c r="AQ970" s="1"/>
      <c r="AR970" s="1"/>
      <c r="AS970" s="1"/>
      <c r="AT970" s="1"/>
      <c r="AU970" s="1"/>
    </row>
    <row r="971" ht="10.5" customHeight="1">
      <c r="A971" s="1"/>
      <c r="B971" s="2"/>
      <c r="C971" s="1"/>
      <c r="D971" s="1"/>
      <c r="E971" s="1"/>
      <c r="F971" s="9"/>
      <c r="G971" s="9"/>
      <c r="H971" s="9"/>
      <c r="I971" s="9"/>
      <c r="J971" s="93"/>
      <c r="K971" s="9"/>
      <c r="L971" s="9"/>
      <c r="M971" s="9"/>
      <c r="N971" s="9"/>
      <c r="O971" s="9"/>
      <c r="P971" s="9"/>
      <c r="Q971" s="93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1"/>
      <c r="AL971" s="1"/>
      <c r="AM971" s="1"/>
      <c r="AN971" s="94"/>
      <c r="AO971" s="1"/>
      <c r="AP971" s="1"/>
      <c r="AQ971" s="1"/>
      <c r="AR971" s="1"/>
      <c r="AS971" s="1"/>
      <c r="AT971" s="1"/>
      <c r="AU971" s="1"/>
    </row>
    <row r="972" ht="10.5" customHeight="1">
      <c r="A972" s="1"/>
      <c r="B972" s="2"/>
      <c r="C972" s="1"/>
      <c r="D972" s="1"/>
      <c r="E972" s="1"/>
      <c r="F972" s="9"/>
      <c r="G972" s="9"/>
      <c r="H972" s="9"/>
      <c r="I972" s="9"/>
      <c r="J972" s="93"/>
      <c r="K972" s="9"/>
      <c r="L972" s="9"/>
      <c r="M972" s="9"/>
      <c r="N972" s="9"/>
      <c r="O972" s="9"/>
      <c r="P972" s="9"/>
      <c r="Q972" s="93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1"/>
      <c r="AL972" s="1"/>
      <c r="AM972" s="1"/>
      <c r="AN972" s="94"/>
      <c r="AO972" s="1"/>
      <c r="AP972" s="1"/>
      <c r="AQ972" s="1"/>
      <c r="AR972" s="1"/>
      <c r="AS972" s="1"/>
      <c r="AT972" s="1"/>
      <c r="AU972" s="1"/>
    </row>
    <row r="973" ht="10.5" customHeight="1">
      <c r="A973" s="1"/>
      <c r="B973" s="2"/>
      <c r="C973" s="1"/>
      <c r="D973" s="1"/>
      <c r="E973" s="1"/>
      <c r="F973" s="9"/>
      <c r="G973" s="9"/>
      <c r="H973" s="9"/>
      <c r="I973" s="9"/>
      <c r="J973" s="93"/>
      <c r="K973" s="9"/>
      <c r="L973" s="9"/>
      <c r="M973" s="9"/>
      <c r="N973" s="9"/>
      <c r="O973" s="9"/>
      <c r="P973" s="9"/>
      <c r="Q973" s="93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1"/>
      <c r="AL973" s="1"/>
      <c r="AM973" s="1"/>
      <c r="AN973" s="94"/>
      <c r="AO973" s="1"/>
      <c r="AP973" s="1"/>
      <c r="AQ973" s="1"/>
      <c r="AR973" s="1"/>
      <c r="AS973" s="1"/>
      <c r="AT973" s="1"/>
      <c r="AU973" s="1"/>
    </row>
    <row r="974" ht="10.5" customHeight="1">
      <c r="A974" s="1"/>
      <c r="B974" s="2"/>
      <c r="C974" s="1"/>
      <c r="D974" s="1"/>
      <c r="E974" s="1"/>
      <c r="F974" s="9"/>
      <c r="G974" s="9"/>
      <c r="H974" s="9"/>
      <c r="I974" s="9"/>
      <c r="J974" s="93"/>
      <c r="K974" s="9"/>
      <c r="L974" s="9"/>
      <c r="M974" s="9"/>
      <c r="N974" s="9"/>
      <c r="O974" s="9"/>
      <c r="P974" s="9"/>
      <c r="Q974" s="93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1"/>
      <c r="AL974" s="1"/>
      <c r="AM974" s="1"/>
      <c r="AN974" s="94"/>
      <c r="AO974" s="1"/>
      <c r="AP974" s="1"/>
      <c r="AQ974" s="1"/>
      <c r="AR974" s="1"/>
      <c r="AS974" s="1"/>
      <c r="AT974" s="1"/>
      <c r="AU974" s="1"/>
    </row>
    <row r="975" ht="10.5" customHeight="1">
      <c r="A975" s="1"/>
      <c r="B975" s="2"/>
      <c r="C975" s="1"/>
      <c r="D975" s="1"/>
      <c r="E975" s="1"/>
      <c r="F975" s="9"/>
      <c r="G975" s="9"/>
      <c r="H975" s="9"/>
      <c r="I975" s="9"/>
      <c r="J975" s="93"/>
      <c r="K975" s="9"/>
      <c r="L975" s="9"/>
      <c r="M975" s="9"/>
      <c r="N975" s="9"/>
      <c r="O975" s="9"/>
      <c r="P975" s="9"/>
      <c r="Q975" s="93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1"/>
      <c r="AL975" s="1"/>
      <c r="AM975" s="1"/>
      <c r="AN975" s="94"/>
      <c r="AO975" s="1"/>
      <c r="AP975" s="1"/>
      <c r="AQ975" s="1"/>
      <c r="AR975" s="1"/>
      <c r="AS975" s="1"/>
      <c r="AT975" s="1"/>
      <c r="AU975" s="1"/>
    </row>
    <row r="976" ht="10.5" customHeight="1">
      <c r="A976" s="1"/>
      <c r="B976" s="2"/>
      <c r="C976" s="1"/>
      <c r="D976" s="1"/>
      <c r="E976" s="1"/>
      <c r="F976" s="9"/>
      <c r="G976" s="9"/>
      <c r="H976" s="9"/>
      <c r="I976" s="9"/>
      <c r="J976" s="93"/>
      <c r="K976" s="9"/>
      <c r="L976" s="9"/>
      <c r="M976" s="9"/>
      <c r="N976" s="9"/>
      <c r="O976" s="9"/>
      <c r="P976" s="9"/>
      <c r="Q976" s="93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1"/>
      <c r="AL976" s="1"/>
      <c r="AM976" s="1"/>
      <c r="AN976" s="94"/>
      <c r="AO976" s="1"/>
      <c r="AP976" s="1"/>
      <c r="AQ976" s="1"/>
      <c r="AR976" s="1"/>
      <c r="AS976" s="1"/>
      <c r="AT976" s="1"/>
      <c r="AU976" s="1"/>
    </row>
    <row r="977" ht="10.5" customHeight="1">
      <c r="A977" s="1"/>
      <c r="B977" s="2"/>
      <c r="C977" s="1"/>
      <c r="D977" s="1"/>
      <c r="E977" s="1"/>
      <c r="F977" s="9"/>
      <c r="G977" s="9"/>
      <c r="H977" s="9"/>
      <c r="I977" s="9"/>
      <c r="J977" s="93"/>
      <c r="K977" s="9"/>
      <c r="L977" s="9"/>
      <c r="M977" s="9"/>
      <c r="N977" s="9"/>
      <c r="O977" s="9"/>
      <c r="P977" s="9"/>
      <c r="Q977" s="93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1"/>
      <c r="AL977" s="1"/>
      <c r="AM977" s="1"/>
      <c r="AN977" s="94"/>
      <c r="AO977" s="1"/>
      <c r="AP977" s="1"/>
      <c r="AQ977" s="1"/>
      <c r="AR977" s="1"/>
      <c r="AS977" s="1"/>
      <c r="AT977" s="1"/>
      <c r="AU977" s="1"/>
    </row>
    <row r="978" ht="10.5" customHeight="1">
      <c r="A978" s="1"/>
      <c r="B978" s="2"/>
      <c r="C978" s="1"/>
      <c r="D978" s="1"/>
      <c r="E978" s="1"/>
      <c r="F978" s="9"/>
      <c r="G978" s="9"/>
      <c r="H978" s="9"/>
      <c r="I978" s="9"/>
      <c r="J978" s="93"/>
      <c r="K978" s="9"/>
      <c r="L978" s="9"/>
      <c r="M978" s="9"/>
      <c r="N978" s="9"/>
      <c r="O978" s="9"/>
      <c r="P978" s="9"/>
      <c r="Q978" s="93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1"/>
      <c r="AL978" s="1"/>
      <c r="AM978" s="1"/>
      <c r="AN978" s="94"/>
      <c r="AO978" s="1"/>
      <c r="AP978" s="1"/>
      <c r="AQ978" s="1"/>
      <c r="AR978" s="1"/>
      <c r="AS978" s="1"/>
      <c r="AT978" s="1"/>
      <c r="AU978" s="1"/>
    </row>
    <row r="979" ht="10.5" customHeight="1">
      <c r="A979" s="1"/>
      <c r="B979" s="2"/>
      <c r="C979" s="1"/>
      <c r="D979" s="1"/>
      <c r="E979" s="1"/>
      <c r="F979" s="9"/>
      <c r="G979" s="9"/>
      <c r="H979" s="9"/>
      <c r="I979" s="9"/>
      <c r="J979" s="93"/>
      <c r="K979" s="9"/>
      <c r="L979" s="9"/>
      <c r="M979" s="9"/>
      <c r="N979" s="9"/>
      <c r="O979" s="9"/>
      <c r="P979" s="9"/>
      <c r="Q979" s="93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1"/>
      <c r="AL979" s="1"/>
      <c r="AM979" s="1"/>
      <c r="AN979" s="94"/>
      <c r="AO979" s="1"/>
      <c r="AP979" s="1"/>
      <c r="AQ979" s="1"/>
      <c r="AR979" s="1"/>
      <c r="AS979" s="1"/>
      <c r="AT979" s="1"/>
      <c r="AU979" s="1"/>
    </row>
    <row r="980" ht="10.5" customHeight="1">
      <c r="A980" s="1"/>
      <c r="B980" s="2"/>
      <c r="C980" s="1"/>
      <c r="D980" s="1"/>
      <c r="E980" s="1"/>
      <c r="F980" s="9"/>
      <c r="G980" s="9"/>
      <c r="H980" s="9"/>
      <c r="I980" s="9"/>
      <c r="J980" s="93"/>
      <c r="K980" s="9"/>
      <c r="L980" s="9"/>
      <c r="M980" s="9"/>
      <c r="N980" s="9"/>
      <c r="O980" s="9"/>
      <c r="P980" s="9"/>
      <c r="Q980" s="93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1"/>
      <c r="AL980" s="1"/>
      <c r="AM980" s="1"/>
      <c r="AN980" s="94"/>
      <c r="AO980" s="1"/>
      <c r="AP980" s="1"/>
      <c r="AQ980" s="1"/>
      <c r="AR980" s="1"/>
      <c r="AS980" s="1"/>
      <c r="AT980" s="1"/>
      <c r="AU980" s="1"/>
    </row>
    <row r="981" ht="10.5" customHeight="1">
      <c r="A981" s="1"/>
      <c r="B981" s="2"/>
      <c r="C981" s="1"/>
      <c r="D981" s="1"/>
      <c r="E981" s="1"/>
      <c r="F981" s="9"/>
      <c r="G981" s="9"/>
      <c r="H981" s="9"/>
      <c r="I981" s="9"/>
      <c r="J981" s="93"/>
      <c r="K981" s="9"/>
      <c r="L981" s="9"/>
      <c r="M981" s="9"/>
      <c r="N981" s="9"/>
      <c r="O981" s="9"/>
      <c r="P981" s="9"/>
      <c r="Q981" s="93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1"/>
      <c r="AL981" s="1"/>
      <c r="AM981" s="1"/>
      <c r="AN981" s="94"/>
      <c r="AO981" s="1"/>
      <c r="AP981" s="1"/>
      <c r="AQ981" s="1"/>
      <c r="AR981" s="1"/>
      <c r="AS981" s="1"/>
      <c r="AT981" s="1"/>
      <c r="AU981" s="1"/>
    </row>
    <row r="982" ht="10.5" customHeight="1">
      <c r="A982" s="1"/>
      <c r="B982" s="2"/>
      <c r="C982" s="1"/>
      <c r="D982" s="1"/>
      <c r="E982" s="1"/>
      <c r="F982" s="9"/>
      <c r="G982" s="9"/>
      <c r="H982" s="9"/>
      <c r="I982" s="9"/>
      <c r="J982" s="93"/>
      <c r="K982" s="9"/>
      <c r="L982" s="9"/>
      <c r="M982" s="9"/>
      <c r="N982" s="9"/>
      <c r="O982" s="9"/>
      <c r="P982" s="9"/>
      <c r="Q982" s="93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1"/>
      <c r="AL982" s="1"/>
      <c r="AM982" s="1"/>
      <c r="AN982" s="94"/>
      <c r="AO982" s="1"/>
      <c r="AP982" s="1"/>
      <c r="AQ982" s="1"/>
      <c r="AR982" s="1"/>
      <c r="AS982" s="1"/>
      <c r="AT982" s="1"/>
      <c r="AU982" s="1"/>
    </row>
    <row r="983" ht="10.5" customHeight="1">
      <c r="A983" s="1"/>
      <c r="B983" s="2"/>
      <c r="C983" s="1"/>
      <c r="D983" s="1"/>
      <c r="E983" s="1"/>
      <c r="F983" s="9"/>
      <c r="G983" s="9"/>
      <c r="H983" s="9"/>
      <c r="I983" s="9"/>
      <c r="J983" s="93"/>
      <c r="K983" s="9"/>
      <c r="L983" s="9"/>
      <c r="M983" s="9"/>
      <c r="N983" s="9"/>
      <c r="O983" s="9"/>
      <c r="P983" s="9"/>
      <c r="Q983" s="93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1"/>
      <c r="AL983" s="1"/>
      <c r="AM983" s="1"/>
      <c r="AN983" s="94"/>
      <c r="AO983" s="1"/>
      <c r="AP983" s="1"/>
      <c r="AQ983" s="1"/>
      <c r="AR983" s="1"/>
      <c r="AS983" s="1"/>
      <c r="AT983" s="1"/>
      <c r="AU983" s="1"/>
    </row>
    <row r="984" ht="10.5" customHeight="1">
      <c r="A984" s="1"/>
      <c r="B984" s="2"/>
      <c r="C984" s="1"/>
      <c r="D984" s="1"/>
      <c r="E984" s="1"/>
      <c r="F984" s="9"/>
      <c r="G984" s="9"/>
      <c r="H984" s="9"/>
      <c r="I984" s="9"/>
      <c r="J984" s="93"/>
      <c r="K984" s="9"/>
      <c r="L984" s="9"/>
      <c r="M984" s="9"/>
      <c r="N984" s="9"/>
      <c r="O984" s="9"/>
      <c r="P984" s="9"/>
      <c r="Q984" s="93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1"/>
      <c r="AL984" s="1"/>
      <c r="AM984" s="1"/>
      <c r="AN984" s="94"/>
      <c r="AO984" s="1"/>
      <c r="AP984" s="1"/>
      <c r="AQ984" s="1"/>
      <c r="AR984" s="1"/>
      <c r="AS984" s="1"/>
      <c r="AT984" s="1"/>
      <c r="AU984" s="1"/>
    </row>
    <row r="985" ht="10.5" customHeight="1">
      <c r="A985" s="1"/>
      <c r="B985" s="2"/>
      <c r="C985" s="1"/>
      <c r="D985" s="1"/>
      <c r="E985" s="1"/>
      <c r="F985" s="9"/>
      <c r="G985" s="9"/>
      <c r="H985" s="9"/>
      <c r="I985" s="9"/>
      <c r="J985" s="93"/>
      <c r="K985" s="9"/>
      <c r="L985" s="9"/>
      <c r="M985" s="9"/>
      <c r="N985" s="9"/>
      <c r="O985" s="9"/>
      <c r="P985" s="9"/>
      <c r="Q985" s="93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1"/>
      <c r="AL985" s="1"/>
      <c r="AM985" s="1"/>
      <c r="AN985" s="94"/>
      <c r="AO985" s="1"/>
      <c r="AP985" s="1"/>
      <c r="AQ985" s="1"/>
      <c r="AR985" s="1"/>
      <c r="AS985" s="1"/>
      <c r="AT985" s="1"/>
      <c r="AU985" s="1"/>
    </row>
    <row r="986" ht="10.5" customHeight="1">
      <c r="A986" s="1"/>
      <c r="B986" s="2"/>
      <c r="C986" s="1"/>
      <c r="D986" s="1"/>
      <c r="E986" s="1"/>
      <c r="F986" s="9"/>
      <c r="G986" s="9"/>
      <c r="H986" s="9"/>
      <c r="I986" s="9"/>
      <c r="J986" s="93"/>
      <c r="K986" s="9"/>
      <c r="L986" s="9"/>
      <c r="M986" s="9"/>
      <c r="N986" s="9"/>
      <c r="O986" s="9"/>
      <c r="P986" s="9"/>
      <c r="Q986" s="93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1"/>
      <c r="AL986" s="1"/>
      <c r="AM986" s="1"/>
      <c r="AN986" s="94"/>
      <c r="AO986" s="1"/>
      <c r="AP986" s="1"/>
      <c r="AQ986" s="1"/>
      <c r="AR986" s="1"/>
      <c r="AS986" s="1"/>
      <c r="AT986" s="1"/>
      <c r="AU986" s="1"/>
    </row>
    <row r="987" ht="10.5" customHeight="1">
      <c r="A987" s="1"/>
      <c r="B987" s="2"/>
      <c r="C987" s="1"/>
      <c r="D987" s="1"/>
      <c r="E987" s="1"/>
      <c r="F987" s="9"/>
      <c r="G987" s="9"/>
      <c r="H987" s="9"/>
      <c r="I987" s="9"/>
      <c r="J987" s="93"/>
      <c r="K987" s="9"/>
      <c r="L987" s="9"/>
      <c r="M987" s="9"/>
      <c r="N987" s="9"/>
      <c r="O987" s="9"/>
      <c r="P987" s="9"/>
      <c r="Q987" s="93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1"/>
      <c r="AL987" s="1"/>
      <c r="AM987" s="1"/>
      <c r="AN987" s="94"/>
      <c r="AO987" s="1"/>
      <c r="AP987" s="1"/>
      <c r="AQ987" s="1"/>
      <c r="AR987" s="1"/>
      <c r="AS987" s="1"/>
      <c r="AT987" s="1"/>
      <c r="AU987" s="1"/>
    </row>
    <row r="988" ht="10.5" customHeight="1">
      <c r="A988" s="1"/>
      <c r="B988" s="2"/>
      <c r="C988" s="1"/>
      <c r="D988" s="1"/>
      <c r="E988" s="1"/>
      <c r="F988" s="9"/>
      <c r="G988" s="9"/>
      <c r="H988" s="9"/>
      <c r="I988" s="9"/>
      <c r="J988" s="93"/>
      <c r="K988" s="9"/>
      <c r="L988" s="9"/>
      <c r="M988" s="9"/>
      <c r="N988" s="9"/>
      <c r="O988" s="9"/>
      <c r="P988" s="9"/>
      <c r="Q988" s="93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1"/>
      <c r="AL988" s="1"/>
      <c r="AM988" s="1"/>
      <c r="AN988" s="94"/>
      <c r="AO988" s="1"/>
      <c r="AP988" s="1"/>
      <c r="AQ988" s="1"/>
      <c r="AR988" s="1"/>
      <c r="AS988" s="1"/>
      <c r="AT988" s="1"/>
      <c r="AU988" s="1"/>
    </row>
    <row r="989" ht="10.5" customHeight="1">
      <c r="A989" s="1"/>
      <c r="B989" s="2"/>
      <c r="C989" s="1"/>
      <c r="D989" s="1"/>
      <c r="E989" s="1"/>
      <c r="F989" s="9"/>
      <c r="G989" s="9"/>
      <c r="H989" s="9"/>
      <c r="I989" s="9"/>
      <c r="J989" s="93"/>
      <c r="K989" s="9"/>
      <c r="L989" s="9"/>
      <c r="M989" s="9"/>
      <c r="N989" s="9"/>
      <c r="O989" s="9"/>
      <c r="P989" s="9"/>
      <c r="Q989" s="93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1"/>
      <c r="AL989" s="1"/>
      <c r="AM989" s="1"/>
      <c r="AN989" s="94"/>
      <c r="AO989" s="1"/>
      <c r="AP989" s="1"/>
      <c r="AQ989" s="1"/>
      <c r="AR989" s="1"/>
      <c r="AS989" s="1"/>
      <c r="AT989" s="1"/>
      <c r="AU989" s="1"/>
    </row>
    <row r="990" ht="10.5" customHeight="1">
      <c r="A990" s="1"/>
      <c r="B990" s="2"/>
      <c r="C990" s="1"/>
      <c r="D990" s="1"/>
      <c r="E990" s="1"/>
      <c r="F990" s="9"/>
      <c r="G990" s="9"/>
      <c r="H990" s="9"/>
      <c r="I990" s="9"/>
      <c r="J990" s="93"/>
      <c r="K990" s="9"/>
      <c r="L990" s="9"/>
      <c r="M990" s="9"/>
      <c r="N990" s="9"/>
      <c r="O990" s="9"/>
      <c r="P990" s="9"/>
      <c r="Q990" s="93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1"/>
      <c r="AL990" s="1"/>
      <c r="AM990" s="1"/>
      <c r="AN990" s="94"/>
      <c r="AO990" s="1"/>
      <c r="AP990" s="1"/>
      <c r="AQ990" s="1"/>
      <c r="AR990" s="1"/>
      <c r="AS990" s="1"/>
      <c r="AT990" s="1"/>
      <c r="AU990" s="1"/>
    </row>
    <row r="991" ht="10.5" customHeight="1">
      <c r="A991" s="1"/>
      <c r="B991" s="2"/>
      <c r="C991" s="1"/>
      <c r="D991" s="1"/>
      <c r="E991" s="1"/>
      <c r="F991" s="9"/>
      <c r="G991" s="9"/>
      <c r="H991" s="9"/>
      <c r="I991" s="9"/>
      <c r="J991" s="93"/>
      <c r="K991" s="9"/>
      <c r="L991" s="9"/>
      <c r="M991" s="9"/>
      <c r="N991" s="9"/>
      <c r="O991" s="9"/>
      <c r="P991" s="9"/>
      <c r="Q991" s="93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1"/>
      <c r="AL991" s="1"/>
      <c r="AM991" s="1"/>
      <c r="AN991" s="94"/>
      <c r="AO991" s="1"/>
      <c r="AP991" s="1"/>
      <c r="AQ991" s="1"/>
      <c r="AR991" s="1"/>
      <c r="AS991" s="1"/>
      <c r="AT991" s="1"/>
      <c r="AU991" s="1"/>
    </row>
    <row r="992" ht="10.5" customHeight="1">
      <c r="A992" s="1"/>
      <c r="B992" s="2"/>
      <c r="C992" s="1"/>
      <c r="D992" s="1"/>
      <c r="E992" s="1"/>
      <c r="F992" s="9"/>
      <c r="G992" s="9"/>
      <c r="H992" s="9"/>
      <c r="I992" s="9"/>
      <c r="J992" s="93"/>
      <c r="K992" s="9"/>
      <c r="L992" s="9"/>
      <c r="M992" s="9"/>
      <c r="N992" s="9"/>
      <c r="O992" s="9"/>
      <c r="P992" s="9"/>
      <c r="Q992" s="93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1"/>
      <c r="AL992" s="1"/>
      <c r="AM992" s="1"/>
      <c r="AN992" s="94"/>
      <c r="AO992" s="1"/>
      <c r="AP992" s="1"/>
      <c r="AQ992" s="1"/>
      <c r="AR992" s="1"/>
      <c r="AS992" s="1"/>
      <c r="AT992" s="1"/>
      <c r="AU992" s="1"/>
    </row>
    <row r="993" ht="10.5" customHeight="1">
      <c r="A993" s="1"/>
      <c r="B993" s="2"/>
      <c r="C993" s="1"/>
      <c r="D993" s="1"/>
      <c r="E993" s="1"/>
      <c r="F993" s="9"/>
      <c r="G993" s="9"/>
      <c r="H993" s="9"/>
      <c r="I993" s="9"/>
      <c r="J993" s="93"/>
      <c r="K993" s="9"/>
      <c r="L993" s="9"/>
      <c r="M993" s="9"/>
      <c r="N993" s="9"/>
      <c r="O993" s="9"/>
      <c r="P993" s="9"/>
      <c r="Q993" s="93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1"/>
      <c r="AL993" s="1"/>
      <c r="AM993" s="1"/>
      <c r="AN993" s="94"/>
      <c r="AO993" s="1"/>
      <c r="AP993" s="1"/>
      <c r="AQ993" s="1"/>
      <c r="AR993" s="1"/>
      <c r="AS993" s="1"/>
      <c r="AT993" s="1"/>
      <c r="AU993" s="1"/>
    </row>
    <row r="994" ht="10.5" customHeight="1">
      <c r="A994" s="1"/>
      <c r="B994" s="2"/>
      <c r="C994" s="1"/>
      <c r="D994" s="1"/>
      <c r="E994" s="1"/>
      <c r="F994" s="9"/>
      <c r="G994" s="9"/>
      <c r="H994" s="9"/>
      <c r="I994" s="9"/>
      <c r="J994" s="93"/>
      <c r="K994" s="9"/>
      <c r="L994" s="9"/>
      <c r="M994" s="9"/>
      <c r="N994" s="9"/>
      <c r="O994" s="9"/>
      <c r="P994" s="9"/>
      <c r="Q994" s="93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1"/>
      <c r="AL994" s="1"/>
      <c r="AM994" s="1"/>
      <c r="AN994" s="94"/>
      <c r="AO994" s="1"/>
      <c r="AP994" s="1"/>
      <c r="AQ994" s="1"/>
      <c r="AR994" s="1"/>
      <c r="AS994" s="1"/>
      <c r="AT994" s="1"/>
      <c r="AU994" s="1"/>
    </row>
    <row r="995" ht="10.5" customHeight="1">
      <c r="A995" s="1"/>
      <c r="B995" s="2"/>
      <c r="C995" s="1"/>
      <c r="D995" s="1"/>
      <c r="E995" s="1"/>
      <c r="F995" s="9"/>
      <c r="G995" s="9"/>
      <c r="H995" s="9"/>
      <c r="I995" s="9"/>
      <c r="J995" s="93"/>
      <c r="K995" s="9"/>
      <c r="L995" s="9"/>
      <c r="M995" s="9"/>
      <c r="N995" s="9"/>
      <c r="O995" s="9"/>
      <c r="P995" s="9"/>
      <c r="Q995" s="93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1"/>
      <c r="AL995" s="1"/>
      <c r="AM995" s="1"/>
      <c r="AN995" s="94"/>
      <c r="AO995" s="1"/>
      <c r="AP995" s="1"/>
      <c r="AQ995" s="1"/>
      <c r="AR995" s="1"/>
      <c r="AS995" s="1"/>
      <c r="AT995" s="1"/>
      <c r="AU995" s="1"/>
    </row>
  </sheetData>
  <mergeCells count="48">
    <mergeCell ref="F38:J38"/>
    <mergeCell ref="K38:L38"/>
    <mergeCell ref="M38:Q38"/>
    <mergeCell ref="R38:S38"/>
    <mergeCell ref="T38:X38"/>
    <mergeCell ref="Y38:Z38"/>
    <mergeCell ref="AH38:AS38"/>
    <mergeCell ref="F40:J40"/>
    <mergeCell ref="K40:L40"/>
    <mergeCell ref="M40:Q40"/>
    <mergeCell ref="R40:S40"/>
    <mergeCell ref="T40:X40"/>
    <mergeCell ref="Y40:Z40"/>
    <mergeCell ref="M41:Q41"/>
    <mergeCell ref="R41:S41"/>
    <mergeCell ref="F39:J39"/>
    <mergeCell ref="K39:L39"/>
    <mergeCell ref="M39:Q39"/>
    <mergeCell ref="R39:S39"/>
    <mergeCell ref="T39:X39"/>
    <mergeCell ref="Y39:Z39"/>
    <mergeCell ref="AH39:AS42"/>
    <mergeCell ref="W1:Y1"/>
    <mergeCell ref="Z1:AB1"/>
    <mergeCell ref="AC1:AD1"/>
    <mergeCell ref="AM6:AM7"/>
    <mergeCell ref="AN6:AN7"/>
    <mergeCell ref="AO6:AO7"/>
    <mergeCell ref="AP6:AP7"/>
    <mergeCell ref="AQ6:AQ7"/>
    <mergeCell ref="AR6:AR7"/>
    <mergeCell ref="AS6:AS7"/>
    <mergeCell ref="AT6:AT7"/>
    <mergeCell ref="D2:E2"/>
    <mergeCell ref="D3:E3"/>
    <mergeCell ref="E5:AU5"/>
    <mergeCell ref="B6:C6"/>
    <mergeCell ref="E6:AJ6"/>
    <mergeCell ref="AK6:AK7"/>
    <mergeCell ref="AL6:AL7"/>
    <mergeCell ref="AU6:AU7"/>
    <mergeCell ref="D1:E1"/>
    <mergeCell ref="F1:H1"/>
    <mergeCell ref="I1:K1"/>
    <mergeCell ref="L1:N1"/>
    <mergeCell ref="O1:Q1"/>
    <mergeCell ref="R1:S1"/>
    <mergeCell ref="T1:V1"/>
  </mergeCells>
  <conditionalFormatting sqref="AK8:AK37 AL8:AT42 AU8:AU37">
    <cfRule type="cellIs" dxfId="0" priority="1" stopIfTrue="1" operator="equal">
      <formula>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2006-09-26T09:04:32Z</dcterms:created>
</cp:coreProperties>
</file>